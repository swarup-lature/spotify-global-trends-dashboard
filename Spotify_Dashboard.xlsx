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67cde199d3a86b7a/Desktop/Excel/"/>
    </mc:Choice>
  </mc:AlternateContent>
  <xr:revisionPtr revIDLastSave="637" documentId="8_{786B0780-9933-4A91-9ED7-7500F4D588F9}" xr6:coauthVersionLast="47" xr6:coauthVersionMax="47" xr10:uidLastSave="{A598A740-9EAD-4F90-851E-8C9B14FE31A0}"/>
  <bookViews>
    <workbookView xWindow="-108" yWindow="-108" windowWidth="23256" windowHeight="12456" tabRatio="781" firstSheet="2" activeTab="8" xr2:uid="{299E9DA7-CF20-4561-9DF0-DE282F2A137A}"/>
  </bookViews>
  <sheets>
    <sheet name="spotify_global_trends " sheetId="2" r:id="rId1"/>
    <sheet name="Top Artists by Streams" sheetId="3" r:id="rId2"/>
    <sheet name="Top Tracks by Streams" sheetId="4" r:id="rId3"/>
    <sheet name="Genre Distribution" sheetId="5" r:id="rId4"/>
    <sheet name="Country Trends" sheetId="6" r:id="rId5"/>
    <sheet name="Trend Analysis" sheetId="7" r:id="rId6"/>
    <sheet name="Longevity vs. Popularity" sheetId="8" r:id="rId7"/>
    <sheet name="Spotify_slicer" sheetId="9" r:id="rId8"/>
    <sheet name="Spotify_Dashboard" sheetId="10" r:id="rId9"/>
  </sheets>
  <definedNames>
    <definedName name="ExternalData_1" localSheetId="0" hidden="1">'spotify_global_trends '!$A$1:$M$179</definedName>
    <definedName name="Slicer_artist_name">#N/A</definedName>
    <definedName name="Slicer_country">#N/A</definedName>
    <definedName name="Slicer_genre">#N/A</definedName>
    <definedName name="Slicer_tren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073387-43C4-49BF-B5CA-014E9F581784}" keepAlive="1" name="Query - spotify_global_trends (1)" description="Connection to the 'spotify_global_trends (1)' query in the workbook." type="5" refreshedVersion="8" background="1" saveData="1">
    <dbPr connection="Provider=Microsoft.Mashup.OleDb.1;Data Source=$Workbook$;Location=&quot;spotify_global_trends (1)&quot;;Extended Properties=&quot;&quot;" command="SELECT * FROM [spotify_global_trends (1)]"/>
  </connection>
</connections>
</file>

<file path=xl/sharedStrings.xml><?xml version="1.0" encoding="utf-8"?>
<sst xmlns="http://schemas.openxmlformats.org/spreadsheetml/2006/main" count="1323" uniqueCount="366">
  <si>
    <t>track_name</t>
  </si>
  <si>
    <t>artist_name</t>
  </si>
  <si>
    <t>streams</t>
  </si>
  <si>
    <t>stream_change</t>
  </si>
  <si>
    <t>7day</t>
  </si>
  <si>
    <t>genre</t>
  </si>
  <si>
    <t>country</t>
  </si>
  <si>
    <t>pos</t>
  </si>
  <si>
    <t>days</t>
  </si>
  <si>
    <t>viral_score</t>
  </si>
  <si>
    <t>trend</t>
  </si>
  <si>
    <t>popularity_category</t>
  </si>
  <si>
    <t>longevity</t>
  </si>
  <si>
    <t>SWIM</t>
  </si>
  <si>
    <t>BTS</t>
  </si>
  <si>
    <t>K-Pop</t>
  </si>
  <si>
    <t>KR</t>
  </si>
  <si>
    <t>Falling</t>
  </si>
  <si>
    <t>Trending</t>
  </si>
  <si>
    <t>New</t>
  </si>
  <si>
    <t>Body to Body</t>
  </si>
  <si>
    <t>Babydoll</t>
  </si>
  <si>
    <t>Dominic Fike</t>
  </si>
  <si>
    <t>Alternative Pop</t>
  </si>
  <si>
    <t>Florida</t>
  </si>
  <si>
    <t>Rising</t>
  </si>
  <si>
    <t>Evergreen</t>
  </si>
  <si>
    <t>Hooligan</t>
  </si>
  <si>
    <t>FYA</t>
  </si>
  <si>
    <t>NORMAL</t>
  </si>
  <si>
    <t>Average</t>
  </si>
  <si>
    <t>Stateside + Zara Larsson (w/ Zara Larsson)</t>
  </si>
  <si>
    <t>PinkPantheress</t>
  </si>
  <si>
    <t>Uk Garage</t>
  </si>
  <si>
    <t>England</t>
  </si>
  <si>
    <t>Stable Hit</t>
  </si>
  <si>
    <t>Aliens</t>
  </si>
  <si>
    <t>2</t>
  </si>
  <si>
    <t>Like Animals</t>
  </si>
  <si>
    <t>Merry Go Round</t>
  </si>
  <si>
    <t>they don’t know ’bout us</t>
  </si>
  <si>
    <t>Man I Need</t>
  </si>
  <si>
    <t>Olivia Dean</t>
  </si>
  <si>
    <t>Pop</t>
  </si>
  <si>
    <t>US</t>
  </si>
  <si>
    <t>DtMF</t>
  </si>
  <si>
    <t>Bad Bunny</t>
  </si>
  <si>
    <t>PR</t>
  </si>
  <si>
    <t>End of Beginning</t>
  </si>
  <si>
    <t>Djo</t>
  </si>
  <si>
    <t>Synth-Pop</t>
  </si>
  <si>
    <t>Risk It All</t>
  </si>
  <si>
    <t>Bruno Mars</t>
  </si>
  <si>
    <t>Offizielle Charts</t>
  </si>
  <si>
    <t>One More Night</t>
  </si>
  <si>
    <t>So Easy (To Fall In Love)</t>
  </si>
  <si>
    <t>Please</t>
  </si>
  <si>
    <t>Raindance (w/ Tems)</t>
  </si>
  <si>
    <t>Dave</t>
  </si>
  <si>
    <t>Rap</t>
  </si>
  <si>
    <t>No. 29</t>
  </si>
  <si>
    <t>Into the Sun</t>
  </si>
  <si>
    <t>The Fate of Ophelia</t>
  </si>
  <si>
    <t>Taylor Swift</t>
  </si>
  <si>
    <t>back to friends</t>
  </si>
  <si>
    <t>sombr</t>
  </si>
  <si>
    <t>Indie Pop</t>
  </si>
  <si>
    <t>BAILE INoLVIDABLE</t>
  </si>
  <si>
    <t>Reggaeton</t>
  </si>
  <si>
    <t>Lush Life</t>
  </si>
  <si>
    <t>Zara Larsson</t>
  </si>
  <si>
    <t>SE</t>
  </si>
  <si>
    <t>WHERE IS MY HUSBAND!</t>
  </si>
  <si>
    <t>RAYE</t>
  </si>
  <si>
    <t>GB</t>
  </si>
  <si>
    <t>NUEVAYoL</t>
  </si>
  <si>
    <t>American Girls</t>
  </si>
  <si>
    <t>Harry Styles</t>
  </si>
  <si>
    <t>Rock</t>
  </si>
  <si>
    <t>iloveitiloveitiloveit</t>
  </si>
  <si>
    <t>Bella Kay</t>
  </si>
  <si>
    <t>Billboard Hot 100</t>
  </si>
  <si>
    <t>I Just Might</t>
  </si>
  <si>
    <t>Iris</t>
  </si>
  <si>
    <t>The Goo Goo Dolls</t>
  </si>
  <si>
    <t>Alternative Rock</t>
  </si>
  <si>
    <t>Die With A Smile (w/ Bruno Mars)</t>
  </si>
  <si>
    <t>Lady Gaga</t>
  </si>
  <si>
    <t>Manchild</t>
  </si>
  <si>
    <t>Sabrina Carpenter</t>
  </si>
  <si>
    <t>Tití Me Preguntó</t>
  </si>
  <si>
    <t>Love Me Not</t>
  </si>
  <si>
    <t>Ravyn Lenae</t>
  </si>
  <si>
    <t>EoO</t>
  </si>
  <si>
    <t>White Keys</t>
  </si>
  <si>
    <t>BIRDS OF A FEATHER</t>
  </si>
  <si>
    <t>Billie Eilish</t>
  </si>
  <si>
    <t>Die On This Hill</t>
  </si>
  <si>
    <t>SIENNA SPIRO</t>
  </si>
  <si>
    <t>Every Breath You Take</t>
  </si>
  <si>
    <t>The Police</t>
  </si>
  <si>
    <t>New Wave</t>
  </si>
  <si>
    <t>Dracula - JENNIE Remix (w/ JENNIE)</t>
  </si>
  <si>
    <t>Tame Impala</t>
  </si>
  <si>
    <t>Psychedelic Rock</t>
  </si>
  <si>
    <t>AU</t>
  </si>
  <si>
    <t>12 to 12</t>
  </si>
  <si>
    <t>Mr. Brightside</t>
  </si>
  <si>
    <t>The Killers</t>
  </si>
  <si>
    <t>Espresso</t>
  </si>
  <si>
    <t>Choosin' Texas</t>
  </si>
  <si>
    <t>Ella Langley</t>
  </si>
  <si>
    <t>Country</t>
  </si>
  <si>
    <t>I Thought I Saw Your Face Today</t>
  </si>
  <si>
    <t>She &amp; Him</t>
  </si>
  <si>
    <t>(When You Gonna) Give It Up to Me (w/ Keyshia Cole)</t>
  </si>
  <si>
    <t>Sean Paul</t>
  </si>
  <si>
    <t>Dancehall</t>
  </si>
  <si>
    <t>JM</t>
  </si>
  <si>
    <t>Homewrecker</t>
  </si>
  <si>
    <t>Sailor Song</t>
  </si>
  <si>
    <t>Gigi Perez</t>
  </si>
  <si>
    <t>Electronic</t>
  </si>
  <si>
    <t>IT</t>
  </si>
  <si>
    <t>Beautiful Things</t>
  </si>
  <si>
    <t>Benson Boone</t>
  </si>
  <si>
    <t>Sweater Weather</t>
  </si>
  <si>
    <t>The Neighbourhood</t>
  </si>
  <si>
    <t>One Dance (w/ Wizkid, Kyla)</t>
  </si>
  <si>
    <t>Drake</t>
  </si>
  <si>
    <t>Hip Hop</t>
  </si>
  <si>
    <t>CA</t>
  </si>
  <si>
    <t>Rein Me In (w/ Olivia Dean)</t>
  </si>
  <si>
    <t>Sam Fender</t>
  </si>
  <si>
    <t>Creep</t>
  </si>
  <si>
    <t>Radiohead</t>
  </si>
  <si>
    <t>Opalite</t>
  </si>
  <si>
    <t>FEVER DREAM</t>
  </si>
  <si>
    <t>Alex Warren</t>
  </si>
  <si>
    <t>dopamina (w/ Tito Double P)</t>
  </si>
  <si>
    <t>Peso Pluma</t>
  </si>
  <si>
    <t>Regional Mexicano</t>
  </si>
  <si>
    <t>MX</t>
  </si>
  <si>
    <t>E85</t>
  </si>
  <si>
    <t>Don Toliver</t>
  </si>
  <si>
    <t>That's What I Like</t>
  </si>
  <si>
    <t>Dracula</t>
  </si>
  <si>
    <t>Dance-Pop</t>
  </si>
  <si>
    <t>Dreams - 2004 Remaster</t>
  </si>
  <si>
    <t>Fleetwood Mac</t>
  </si>
  <si>
    <t>Gabriela</t>
  </si>
  <si>
    <t>KATSEYE</t>
  </si>
  <si>
    <t>Girl Group</t>
  </si>
  <si>
    <t>Yellow</t>
  </si>
  <si>
    <t>Coldplay</t>
  </si>
  <si>
    <t>Locked out of Heaven</t>
  </si>
  <si>
    <t>I Wanna Be Yours</t>
  </si>
  <si>
    <t>Arctic Monkeys</t>
  </si>
  <si>
    <t>Indie Rock</t>
  </si>
  <si>
    <t>Who</t>
  </si>
  <si>
    <t>Jimin</t>
  </si>
  <si>
    <t>Contemporary R&amp;B</t>
  </si>
  <si>
    <t>VOY A LLeVARTE PA PR</t>
  </si>
  <si>
    <t>daño (w/ Tito Double P)</t>
  </si>
  <si>
    <t>Starboy (w/ Daft Punk)</t>
  </si>
  <si>
    <t>The Weeknd</t>
  </si>
  <si>
    <t>R&amp;B</t>
  </si>
  <si>
    <t>Lose Control</t>
  </si>
  <si>
    <t>Teddy Swims</t>
  </si>
  <si>
    <t>Riptide</t>
  </si>
  <si>
    <t>Vance Joy</t>
  </si>
  <si>
    <t>WILDFLOWER</t>
  </si>
  <si>
    <t>LA CANCIÓN (w/ Bad Bunny)</t>
  </si>
  <si>
    <t>J Balvin</t>
  </si>
  <si>
    <t>CO</t>
  </si>
  <si>
    <t>Qué Pasaría... (w/ Bad Bunny)</t>
  </si>
  <si>
    <t>Rauw Alejandro</t>
  </si>
  <si>
    <t>Feel Good Inc</t>
  </si>
  <si>
    <t>Gorillaz</t>
  </si>
  <si>
    <t>All The Stars (w/ SZA)</t>
  </si>
  <si>
    <t>Kendrick Lamar</t>
  </si>
  <si>
    <t>See You Again (w/ Kali Uchis)</t>
  </si>
  <si>
    <t>Tyler, The Creator</t>
  </si>
  <si>
    <t>In the End</t>
  </si>
  <si>
    <t>Linkin Park</t>
  </si>
  <si>
    <t>Nu Metal</t>
  </si>
  <si>
    <t>One Of The Girls (w/ JENNIE, Lily-Rose Depp)</t>
  </si>
  <si>
    <t>Danza Kuduro (w/ Lucenzo)</t>
  </si>
  <si>
    <t>Don Omar</t>
  </si>
  <si>
    <t>Aperture</t>
  </si>
  <si>
    <t>La Plena - W Sound 05 (w/ Beéle, Ovy On The Drums)</t>
  </si>
  <si>
    <t>W Sound</t>
  </si>
  <si>
    <t>Falcom</t>
  </si>
  <si>
    <t>JP</t>
  </si>
  <si>
    <t>LA VILLA (w/ Kapo, Gangsta)</t>
  </si>
  <si>
    <t>Ryan Castro</t>
  </si>
  <si>
    <t>Good Luck, Babe!</t>
  </si>
  <si>
    <t>Chappell Roan</t>
  </si>
  <si>
    <t>Viva La Vida</t>
  </si>
  <si>
    <t>As It Was</t>
  </si>
  <si>
    <t>We Are The People</t>
  </si>
  <si>
    <t>Empire Of The Sun</t>
  </si>
  <si>
    <t>The Less I Know The Better</t>
  </si>
  <si>
    <t>505</t>
  </si>
  <si>
    <t>Seven (w/ Latto)</t>
  </si>
  <si>
    <t>Jung Kook</t>
  </si>
  <si>
    <t>Marlboro Rojo</t>
  </si>
  <si>
    <t>Fuerza Regida</t>
  </si>
  <si>
    <t>Todo Lo Fue</t>
  </si>
  <si>
    <t>Lenin Ramírez</t>
  </si>
  <si>
    <t>The Visitor</t>
  </si>
  <si>
    <t>Pop Soul</t>
  </si>
  <si>
    <t>Billie Jean</t>
  </si>
  <si>
    <t>Michael Jackson</t>
  </si>
  <si>
    <t>Si Antes Te Hubiera Conocido</t>
  </si>
  <si>
    <t>KAROL G</t>
  </si>
  <si>
    <t>Pvta Luna</t>
  </si>
  <si>
    <t>Neton Vega</t>
  </si>
  <si>
    <t>Culiacán</t>
  </si>
  <si>
    <t>Ya Borracho</t>
  </si>
  <si>
    <t>Herencia De Grandes</t>
  </si>
  <si>
    <t>Monterrey</t>
  </si>
  <si>
    <t>undressed</t>
  </si>
  <si>
    <t>Shape of You</t>
  </si>
  <si>
    <t>Ed Sheeran</t>
  </si>
  <si>
    <t>That’s So True</t>
  </si>
  <si>
    <t>Gracie Abrams</t>
  </si>
  <si>
    <t>Folk Pop</t>
  </si>
  <si>
    <t>Midnight Sun</t>
  </si>
  <si>
    <t>When I Was Your Man</t>
  </si>
  <si>
    <t>Have You Ever Seen The Rain</t>
  </si>
  <si>
    <t>Creedence Clearwater Revival</t>
  </si>
  <si>
    <t>Swamp Rock</t>
  </si>
  <si>
    <t>Sparks</t>
  </si>
  <si>
    <t>COQUETA (w/ Grupo Frontera)</t>
  </si>
  <si>
    <t>Somewhere Only We Know</t>
  </si>
  <si>
    <t>Keane</t>
  </si>
  <si>
    <t>Taste Back</t>
  </si>
  <si>
    <t>Zoo (w/ Shakira)</t>
  </si>
  <si>
    <t>Disney</t>
  </si>
  <si>
    <t>Special Purpose Artist</t>
  </si>
  <si>
    <t>Smells Like Teen Spirit - Remastered</t>
  </si>
  <si>
    <t>Nirvana</t>
  </si>
  <si>
    <t>Grunge</t>
  </si>
  <si>
    <t>Blinding Lights</t>
  </si>
  <si>
    <t>7-3 (w/ Tito Double P)</t>
  </si>
  <si>
    <t>Porch Light</t>
  </si>
  <si>
    <t>Noah Kahan</t>
  </si>
  <si>
    <t>Just the Way You Are</t>
  </si>
  <si>
    <t>Coming Up Roses</t>
  </si>
  <si>
    <t>Nice To Each Other</t>
  </si>
  <si>
    <t>Counting Stars</t>
  </si>
  <si>
    <t>OneRepublic</t>
  </si>
  <si>
    <t>Fame is a Gun</t>
  </si>
  <si>
    <t>Addison Rae</t>
  </si>
  <si>
    <t>Only Girl (In The World)</t>
  </si>
  <si>
    <t>Rihanna</t>
  </si>
  <si>
    <t>Bring Me To Life</t>
  </si>
  <si>
    <t>Evanescence</t>
  </si>
  <si>
    <t>Don't Stop The Music</t>
  </si>
  <si>
    <t>Timeless (w/ Playboi Carti)</t>
  </si>
  <si>
    <t>Promiscuous (w/ Timbaland)</t>
  </si>
  <si>
    <t>Nelly Furtado</t>
  </si>
  <si>
    <t>Give Me Everything (w/ Ne-Yo, AFROJACK, Nayer)</t>
  </si>
  <si>
    <t>Pitbull</t>
  </si>
  <si>
    <t>chiclona (w/ Tito Double P, LENCHO)</t>
  </si>
  <si>
    <t>no tiene sentido</t>
  </si>
  <si>
    <t>Beéle</t>
  </si>
  <si>
    <t>Latin</t>
  </si>
  <si>
    <t>Kiss It Better</t>
  </si>
  <si>
    <t>Body</t>
  </si>
  <si>
    <t>The Night We Met</t>
  </si>
  <si>
    <t>Lord Huron</t>
  </si>
  <si>
    <t>Sweet Child O' Mine</t>
  </si>
  <si>
    <t>Guns N' Roses</t>
  </si>
  <si>
    <t>Hard Rock</t>
  </si>
  <si>
    <t>Let Me Love You (w/ Justin Bieber)</t>
  </si>
  <si>
    <t>DJ Snake</t>
  </si>
  <si>
    <t>Dance</t>
  </si>
  <si>
    <t>FR</t>
  </si>
  <si>
    <t>Numb</t>
  </si>
  <si>
    <t>Africa</t>
  </si>
  <si>
    <t>TOTO</t>
  </si>
  <si>
    <t>Who Knows</t>
  </si>
  <si>
    <t>Daniel Caesar</t>
  </si>
  <si>
    <t>Toronto</t>
  </si>
  <si>
    <t>The Man Who Can't Be Moved</t>
  </si>
  <si>
    <t>The Script</t>
  </si>
  <si>
    <t>A Couple Minutes</t>
  </si>
  <si>
    <t>Everybody Wants To Rule The World</t>
  </si>
  <si>
    <t>Tears For Fears</t>
  </si>
  <si>
    <t>No One Noticed</t>
  </si>
  <si>
    <t>The Marías</t>
  </si>
  <si>
    <t>Without Me</t>
  </si>
  <si>
    <t>Eminem</t>
  </si>
  <si>
    <t>Hips Don't Lie (w/ Wyclef Jean)</t>
  </si>
  <si>
    <t>Shakira</t>
  </si>
  <si>
    <t>Me Rehúso</t>
  </si>
  <si>
    <t>Danny Ocean</t>
  </si>
  <si>
    <t>Soundtrack</t>
  </si>
  <si>
    <t>VeLDÁ (w/ Omar Courtz, Dei V)</t>
  </si>
  <si>
    <t>Style</t>
  </si>
  <si>
    <t>Payphone (w/ Wiz Khalifa)</t>
  </si>
  <si>
    <t>Maroon 5</t>
  </si>
  <si>
    <t>Please Please Please</t>
  </si>
  <si>
    <t>TU SANCHO</t>
  </si>
  <si>
    <t>Shut up My Moms Calling</t>
  </si>
  <si>
    <t>Hotel Ugly</t>
  </si>
  <si>
    <t>Ready, Steady, Go!</t>
  </si>
  <si>
    <t>We Found Love (w/ Calvin Harris)</t>
  </si>
  <si>
    <t>Sex on Fire</t>
  </si>
  <si>
    <t>Kings of Leon</t>
  </si>
  <si>
    <t>Wonderwall - Remastered</t>
  </si>
  <si>
    <t>Oasis</t>
  </si>
  <si>
    <t>Britpop</t>
  </si>
  <si>
    <t>Too Sweet</t>
  </si>
  <si>
    <t>Hozier</t>
  </si>
  <si>
    <t>IE</t>
  </si>
  <si>
    <t>Can't Hold Us (w/ Macklemore, Ryan Lewis, Ray Dalton)</t>
  </si>
  <si>
    <t>Macklemore &amp; Ryan Lewis</t>
  </si>
  <si>
    <t>DAISIES</t>
  </si>
  <si>
    <t>Justin Bieber</t>
  </si>
  <si>
    <t>Sunflower - Spider-Man: Into the Spider-Verse (w/ Swae Lee)</t>
  </si>
  <si>
    <t>Post Malone</t>
  </si>
  <si>
    <t>Take on Me - 2015 Remaster</t>
  </si>
  <si>
    <t>a-ha</t>
  </si>
  <si>
    <t>NO</t>
  </si>
  <si>
    <t>Can't Stop - 2014 Remaster</t>
  </si>
  <si>
    <t>Red Hot Chili Peppers</t>
  </si>
  <si>
    <t>Poker Face</t>
  </si>
  <si>
    <t>Cruel Summer</t>
  </si>
  <si>
    <t>Boys Don't Cry</t>
  </si>
  <si>
    <t>The Cure</t>
  </si>
  <si>
    <t>luther</t>
  </si>
  <si>
    <t>What You Saying</t>
  </si>
  <si>
    <t>Lil Uzi Vert</t>
  </si>
  <si>
    <t>S&amp;M</t>
  </si>
  <si>
    <t>No Pole</t>
  </si>
  <si>
    <t>Last Friday Night (T.G.I.F.)</t>
  </si>
  <si>
    <t>Katy Perry</t>
  </si>
  <si>
    <t>Just Keep Watching (From F1® The Movie) (w/ F1 The Album)</t>
  </si>
  <si>
    <t>Tate McRae</t>
  </si>
  <si>
    <t>Dolby Atmos</t>
  </si>
  <si>
    <t>Flashing Lights (w/ Dwele)</t>
  </si>
  <si>
    <t>Kanye West</t>
  </si>
  <si>
    <t>Gangsta's Paradise (w/ L.V.)</t>
  </si>
  <si>
    <t>Coolio</t>
  </si>
  <si>
    <t>nuts (w/ rainy bear)</t>
  </si>
  <si>
    <t>Lil Peep</t>
  </si>
  <si>
    <t>Perfect</t>
  </si>
  <si>
    <t>Summertime Sadness</t>
  </si>
  <si>
    <t>Lana Del Rey</t>
  </si>
  <si>
    <t>Come As You Are - Remastered</t>
  </si>
  <si>
    <t>Breakin' Dishes</t>
  </si>
  <si>
    <t>The Chain - 2004 Remaster</t>
  </si>
  <si>
    <t>Love On The Brain</t>
  </si>
  <si>
    <t>Soul</t>
  </si>
  <si>
    <t>Sign of the Times</t>
  </si>
  <si>
    <t>Sorry</t>
  </si>
  <si>
    <t>Life Goes On</t>
  </si>
  <si>
    <t>Row Labels</t>
  </si>
  <si>
    <t>Grand Total</t>
  </si>
  <si>
    <t>Sum of streams</t>
  </si>
  <si>
    <t>Column Labels</t>
  </si>
  <si>
    <t>Average of days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</si>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</sst>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191414"/>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1" fillId="2" borderId="0" xfId="0" applyFont="1"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B3B3B3"/>
      </font>
    </dxf>
    <dxf>
      <font>
        <color rgb="FFFFFFFF"/>
      </font>
    </dxf>
    <dxf>
      <fill>
        <patternFill>
          <bgColor rgb="FF191414"/>
        </patternFill>
      </fill>
    </dxf>
  </dxfs>
  <tableStyles count="3" defaultTableStyle="TableStyleMedium2" defaultPivotStyle="PivotStyleLight16">
    <tableStyle name="Slicer Style 1" pivot="0" table="0" count="0" xr9:uid="{896DEAEC-61BE-4835-9E14-EAA089C02630}"/>
    <tableStyle name="Slicer Style 2" pivot="0" table="0" count="5" xr9:uid="{D596E7A9-CC02-4133-8649-A90B89FC1F51}">
      <tableStyleElement type="wholeTable" dxfId="9"/>
      <tableStyleElement type="headerRow" dxfId="8"/>
    </tableStyle>
    <tableStyle name="Slicer Style 3" pivot="0" table="0" count="1" xr9:uid="{E91B559E-AB9A-42D9-824B-F218AFFF19A8}">
      <tableStyleElement type="headerRow" dxfId="7"/>
    </tableStyle>
  </tableStyles>
  <colors>
    <mruColors>
      <color rgb="FF191414"/>
      <color rgb="FF2E2E2E"/>
      <color rgb="FFFFFFFF"/>
      <color rgb="FF1DB954"/>
      <color rgb="FFB3B3B3"/>
      <color rgb="FF121212"/>
      <color rgb="FF9B59B6"/>
      <color rgb="FF3498DB"/>
      <color rgb="FFF1C40F"/>
      <color rgb="FFE67E22"/>
    </mruColors>
  </colors>
  <extLst>
    <ext xmlns:x14="http://schemas.microsoft.com/office/spreadsheetml/2009/9/main" uri="{46F421CA-312F-682f-3DD2-61675219B42D}">
      <x14:dxfs count="3">
        <dxf>
          <font>
            <color rgb="FFFFFFFF"/>
          </font>
          <fill>
            <patternFill>
              <bgColor rgb="FF2E2E2E"/>
            </patternFill>
          </fill>
        </dxf>
        <dxf>
          <font>
            <color rgb="FFFFFFFF"/>
          </font>
          <fill>
            <patternFill>
              <bgColor rgb="FF1DB954"/>
            </patternFill>
          </fill>
        </dxf>
        <dxf>
          <font>
            <color theme="0"/>
          </font>
          <fill>
            <patternFill>
              <bgColor rgb="FF19141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[Spotify_Dashboard.xlsx]Top Artists by Streams!PivotTable3</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Top Artists by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Artists by Streams'!$B$3</c:f>
              <c:strCache>
                <c:ptCount val="1"/>
                <c:pt idx="0">
                  <c:v>Total</c:v>
                </c:pt>
              </c:strCache>
            </c:strRef>
          </c:tx>
          <c:spPr>
            <a:solidFill>
              <a:srgbClr val="1DB954"/>
            </a:solidFill>
            <a:ln>
              <a:noFill/>
            </a:ln>
            <a:effectLst/>
            <a:sp3d/>
          </c:spPr>
          <c:invertIfNegative val="0"/>
          <c:cat>
            <c:strRef>
              <c:f>'Top Artists by Streams'!$A$4:$A$14</c:f>
              <c:strCache>
                <c:ptCount val="10"/>
                <c:pt idx="0">
                  <c:v>Bad Bunny</c:v>
                </c:pt>
                <c:pt idx="1">
                  <c:v>Bruno Mars</c:v>
                </c:pt>
                <c:pt idx="2">
                  <c:v>BTS</c:v>
                </c:pt>
                <c:pt idx="3">
                  <c:v>Dominic Fike</c:v>
                </c:pt>
                <c:pt idx="4">
                  <c:v>Harry Styles</c:v>
                </c:pt>
                <c:pt idx="5">
                  <c:v>Olivia Dean</c:v>
                </c:pt>
                <c:pt idx="6">
                  <c:v>Peso Pluma</c:v>
                </c:pt>
                <c:pt idx="7">
                  <c:v>Rihanna</c:v>
                </c:pt>
                <c:pt idx="8">
                  <c:v>sombr</c:v>
                </c:pt>
                <c:pt idx="9">
                  <c:v>Taylor Swift</c:v>
                </c:pt>
              </c:strCache>
            </c:strRef>
          </c:cat>
          <c:val>
            <c:numRef>
              <c:f>'Top Artists by Streams'!$B$4:$B$14</c:f>
              <c:numCache>
                <c:formatCode>General</c:formatCode>
                <c:ptCount val="10"/>
                <c:pt idx="0">
                  <c:v>19139989</c:v>
                </c:pt>
                <c:pt idx="1">
                  <c:v>13539825</c:v>
                </c:pt>
                <c:pt idx="2">
                  <c:v>72752485</c:v>
                </c:pt>
                <c:pt idx="3">
                  <c:v>8265098</c:v>
                </c:pt>
                <c:pt idx="4">
                  <c:v>11746536</c:v>
                </c:pt>
                <c:pt idx="5">
                  <c:v>10997054</c:v>
                </c:pt>
                <c:pt idx="6">
                  <c:v>6563616</c:v>
                </c:pt>
                <c:pt idx="7">
                  <c:v>9150991</c:v>
                </c:pt>
                <c:pt idx="8">
                  <c:v>9519033</c:v>
                </c:pt>
                <c:pt idx="9">
                  <c:v>8293499</c:v>
                </c:pt>
              </c:numCache>
            </c:numRef>
          </c:val>
          <c:extLst>
            <c:ext xmlns:c16="http://schemas.microsoft.com/office/drawing/2014/chart" uri="{C3380CC4-5D6E-409C-BE32-E72D297353CC}">
              <c16:uniqueId val="{00000000-F101-4C3D-AA80-64DF32911BE0}"/>
            </c:ext>
          </c:extLst>
        </c:ser>
        <c:dLbls>
          <c:showLegendKey val="0"/>
          <c:showVal val="0"/>
          <c:showCatName val="0"/>
          <c:showSerName val="0"/>
          <c:showPercent val="0"/>
          <c:showBubbleSize val="0"/>
        </c:dLbls>
        <c:gapWidth val="150"/>
        <c:shape val="box"/>
        <c:axId val="1703686128"/>
        <c:axId val="1703689968"/>
        <c:axId val="0"/>
      </c:bar3DChart>
      <c:catAx>
        <c:axId val="170368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9968"/>
        <c:crosses val="autoZero"/>
        <c:auto val="1"/>
        <c:lblAlgn val="ctr"/>
        <c:lblOffset val="100"/>
        <c:noMultiLvlLbl val="0"/>
      </c:catAx>
      <c:valAx>
        <c:axId val="1703689968"/>
        <c:scaling>
          <c:orientation val="minMax"/>
        </c:scaling>
        <c:delete val="0"/>
        <c:axPos val="l"/>
        <c:majorGridlines>
          <c:spPr>
            <a:ln w="9525" cap="flat" cmpd="sng" algn="ctr">
              <a:solidFill>
                <a:srgbClr val="2E2E2E"/>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rgbClr val="191414">
          <a:alpha val="92941"/>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[Spotify_Dashboard.xlsx]Top Tracks by Streams!PivotTable4</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Top Tracks by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Tracks by Streams'!$B$3</c:f>
              <c:strCache>
                <c:ptCount val="1"/>
                <c:pt idx="0">
                  <c:v>Total</c:v>
                </c:pt>
              </c:strCache>
            </c:strRef>
          </c:tx>
          <c:spPr>
            <a:solidFill>
              <a:srgbClr val="1DB954"/>
            </a:solidFill>
            <a:ln>
              <a:noFill/>
            </a:ln>
            <a:effectLst/>
            <a:sp3d/>
          </c:spPr>
          <c:invertIfNegative val="0"/>
          <c:cat>
            <c:strRef>
              <c:f>'Top Tracks by Streams'!$A$4:$A$14</c:f>
              <c:strCache>
                <c:ptCount val="10"/>
                <c:pt idx="0">
                  <c:v>2</c:v>
                </c:pt>
                <c:pt idx="1">
                  <c:v>Aliens</c:v>
                </c:pt>
                <c:pt idx="2">
                  <c:v>Babydoll</c:v>
                </c:pt>
                <c:pt idx="3">
                  <c:v>Body to Body</c:v>
                </c:pt>
                <c:pt idx="4">
                  <c:v>FYA</c:v>
                </c:pt>
                <c:pt idx="5">
                  <c:v>Hooligan</c:v>
                </c:pt>
                <c:pt idx="6">
                  <c:v>Like Animals</c:v>
                </c:pt>
                <c:pt idx="7">
                  <c:v>NORMAL</c:v>
                </c:pt>
                <c:pt idx="8">
                  <c:v>Stateside + Zara Larsson (w/ Zara Larsson)</c:v>
                </c:pt>
                <c:pt idx="9">
                  <c:v>SWIM</c:v>
                </c:pt>
              </c:strCache>
            </c:strRef>
          </c:cat>
          <c:val>
            <c:numRef>
              <c:f>'Top Tracks by Streams'!$B$4:$B$14</c:f>
              <c:numCache>
                <c:formatCode>General</c:formatCode>
                <c:ptCount val="10"/>
                <c:pt idx="0">
                  <c:v>4573989</c:v>
                </c:pt>
                <c:pt idx="1">
                  <c:v>4718569</c:v>
                </c:pt>
                <c:pt idx="2">
                  <c:v>5733862</c:v>
                </c:pt>
                <c:pt idx="3">
                  <c:v>6815694</c:v>
                </c:pt>
                <c:pt idx="4">
                  <c:v>5196767</c:v>
                </c:pt>
                <c:pt idx="5">
                  <c:v>5338608</c:v>
                </c:pt>
                <c:pt idx="6">
                  <c:v>4567309</c:v>
                </c:pt>
                <c:pt idx="7">
                  <c:v>4749288</c:v>
                </c:pt>
                <c:pt idx="8">
                  <c:v>4738329</c:v>
                </c:pt>
                <c:pt idx="9">
                  <c:v>11273830</c:v>
                </c:pt>
              </c:numCache>
            </c:numRef>
          </c:val>
          <c:extLst>
            <c:ext xmlns:c16="http://schemas.microsoft.com/office/drawing/2014/chart" uri="{C3380CC4-5D6E-409C-BE32-E72D297353CC}">
              <c16:uniqueId val="{00000000-BCC0-42ED-9D6F-194ABE32A136}"/>
            </c:ext>
          </c:extLst>
        </c:ser>
        <c:dLbls>
          <c:showLegendKey val="0"/>
          <c:showVal val="0"/>
          <c:showCatName val="0"/>
          <c:showSerName val="0"/>
          <c:showPercent val="0"/>
          <c:showBubbleSize val="0"/>
        </c:dLbls>
        <c:gapWidth val="150"/>
        <c:shape val="box"/>
        <c:axId val="1703688528"/>
        <c:axId val="1703685648"/>
        <c:axId val="0"/>
      </c:bar3DChart>
      <c:catAx>
        <c:axId val="170368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5648"/>
        <c:crosses val="autoZero"/>
        <c:auto val="1"/>
        <c:lblAlgn val="ctr"/>
        <c:lblOffset val="100"/>
        <c:noMultiLvlLbl val="0"/>
      </c:catAx>
      <c:valAx>
        <c:axId val="1703685648"/>
        <c:scaling>
          <c:orientation val="minMax"/>
        </c:scaling>
        <c:delete val="0"/>
        <c:axPos val="b"/>
        <c:majorGridlines>
          <c:spPr>
            <a:ln w="9525" cap="flat" cmpd="sng" algn="ctr">
              <a:solidFill>
                <a:srgbClr val="2E2E2E"/>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[Spotify_Dashboard.xlsx]Genre Distribution!PivotTable5</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Genre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DB954"/>
          </a:solidFill>
          <a:ln w="19050">
            <a:solidFill>
              <a:schemeClr val="lt1"/>
            </a:solidFill>
          </a:ln>
          <a:effectLst/>
        </c:spPr>
      </c:pivotFmt>
      <c:pivotFmt>
        <c:idx val="2"/>
        <c:spPr>
          <a:solidFill>
            <a:srgbClr val="F1C40F"/>
          </a:solidFill>
          <a:ln w="19050">
            <a:solidFill>
              <a:schemeClr val="lt1"/>
            </a:solidFill>
          </a:ln>
          <a:effectLst/>
        </c:spPr>
      </c:pivotFmt>
      <c:pivotFmt>
        <c:idx val="3"/>
        <c:spPr>
          <a:solidFill>
            <a:srgbClr val="00CED1"/>
          </a:solidFill>
          <a:ln w="19050">
            <a:solidFill>
              <a:schemeClr val="lt1"/>
            </a:solidFill>
          </a:ln>
          <a:effectLst/>
        </c:spPr>
      </c:pivotFmt>
      <c:pivotFmt>
        <c:idx val="4"/>
        <c:spPr>
          <a:solidFill>
            <a:srgbClr val="E67E22"/>
          </a:solidFill>
          <a:ln w="19050">
            <a:solidFill>
              <a:schemeClr val="lt1"/>
            </a:solidFill>
          </a:ln>
          <a:effectLst/>
        </c:spPr>
      </c:pivotFmt>
      <c:pivotFmt>
        <c:idx val="5"/>
        <c:spPr>
          <a:solidFill>
            <a:srgbClr val="F1C40F"/>
          </a:solidFill>
          <a:ln w="19050">
            <a:solidFill>
              <a:schemeClr val="lt1"/>
            </a:solidFill>
          </a:ln>
          <a:effectLst/>
        </c:spPr>
      </c:pivotFmt>
      <c:pivotFmt>
        <c:idx val="6"/>
        <c:spPr>
          <a:solidFill>
            <a:srgbClr val="3498DB"/>
          </a:solidFill>
          <a:ln w="19050">
            <a:solidFill>
              <a:schemeClr val="lt1"/>
            </a:solidFill>
          </a:ln>
          <a:effectLst/>
        </c:spPr>
      </c:pivotFmt>
      <c:pivotFmt>
        <c:idx val="7"/>
        <c:spPr>
          <a:solidFill>
            <a:srgbClr val="00CED1"/>
          </a:solidFill>
          <a:ln w="19050">
            <a:solidFill>
              <a:schemeClr val="lt1"/>
            </a:solidFill>
          </a:ln>
          <a:effectLst/>
        </c:spPr>
      </c:pivotFmt>
      <c:pivotFmt>
        <c:idx val="8"/>
        <c:spPr>
          <a:solidFill>
            <a:srgbClr val="00CED1"/>
          </a:solidFill>
          <a:ln w="19050">
            <a:solidFill>
              <a:schemeClr val="lt1"/>
            </a:solidFill>
          </a:ln>
          <a:effectLst/>
        </c:spPr>
      </c:pivotFmt>
      <c:pivotFmt>
        <c:idx val="9"/>
        <c:spPr>
          <a:solidFill>
            <a:srgbClr val="B3B3B3"/>
          </a:solidFill>
          <a:ln w="19050">
            <a:solidFill>
              <a:schemeClr val="lt1"/>
            </a:solidFill>
          </a:ln>
          <a:effectLst/>
        </c:spPr>
      </c:pivotFmt>
      <c:pivotFmt>
        <c:idx val="10"/>
        <c:spPr>
          <a:solidFill>
            <a:srgbClr val="3498DB"/>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F1C40F"/>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rgbClr val="00CED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rgbClr val="E67E22"/>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rgbClr val="00CED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doughnutChart>
        <c:varyColors val="1"/>
        <c:ser>
          <c:idx val="0"/>
          <c:order val="0"/>
          <c:tx>
            <c:strRef>
              <c:f>'Genre Distribution'!$B$3</c:f>
              <c:strCache>
                <c:ptCount val="1"/>
                <c:pt idx="0">
                  <c:v>Total</c:v>
                </c:pt>
              </c:strCache>
            </c:strRef>
          </c:tx>
          <c:dPt>
            <c:idx val="0"/>
            <c:bubble3D val="0"/>
            <c:spPr>
              <a:solidFill>
                <a:srgbClr val="00CED1"/>
              </a:solidFill>
              <a:ln w="19050">
                <a:solidFill>
                  <a:schemeClr val="lt1"/>
                </a:solidFill>
              </a:ln>
              <a:effectLst/>
            </c:spPr>
            <c:extLst>
              <c:ext xmlns:c16="http://schemas.microsoft.com/office/drawing/2014/chart" uri="{C3380CC4-5D6E-409C-BE32-E72D297353CC}">
                <c16:uniqueId val="{00000004-6F9B-43E1-9D60-73BFD18213B0}"/>
              </c:ext>
            </c:extLst>
          </c:dPt>
          <c:dPt>
            <c:idx val="1"/>
            <c:bubble3D val="0"/>
            <c:spPr>
              <a:solidFill>
                <a:srgbClr val="E67E22"/>
              </a:solidFill>
              <a:ln w="19050">
                <a:solidFill>
                  <a:schemeClr val="lt1"/>
                </a:solidFill>
              </a:ln>
              <a:effectLst/>
            </c:spPr>
            <c:extLst>
              <c:ext xmlns:c16="http://schemas.microsoft.com/office/drawing/2014/chart" uri="{C3380CC4-5D6E-409C-BE32-E72D297353CC}">
                <c16:uniqueId val="{00000006-6F9B-43E1-9D60-73BFD18213B0}"/>
              </c:ext>
            </c:extLst>
          </c:dPt>
          <c:dPt>
            <c:idx val="2"/>
            <c:bubble3D val="0"/>
            <c:spPr>
              <a:solidFill>
                <a:srgbClr val="00CED1"/>
              </a:solidFill>
              <a:ln w="19050">
                <a:solidFill>
                  <a:schemeClr val="lt1"/>
                </a:solidFill>
              </a:ln>
              <a:effectLst/>
            </c:spPr>
            <c:extLst>
              <c:ext xmlns:c16="http://schemas.microsoft.com/office/drawing/2014/chart" uri="{C3380CC4-5D6E-409C-BE32-E72D297353CC}">
                <c16:uniqueId val="{00000009-6F9B-43E1-9D60-73BFD18213B0}"/>
              </c:ext>
            </c:extLst>
          </c:dPt>
          <c:dPt>
            <c:idx val="3"/>
            <c:bubble3D val="0"/>
            <c:spPr>
              <a:solidFill>
                <a:srgbClr val="F1C40F"/>
              </a:solidFill>
              <a:ln w="19050">
                <a:solidFill>
                  <a:schemeClr val="lt1"/>
                </a:solidFill>
              </a:ln>
              <a:effectLst/>
            </c:spPr>
            <c:extLst>
              <c:ext xmlns:c16="http://schemas.microsoft.com/office/drawing/2014/chart" uri="{C3380CC4-5D6E-409C-BE32-E72D297353CC}">
                <c16:uniqueId val="{00000007-6F9B-43E1-9D60-73BFD18213B0}"/>
              </c:ext>
            </c:extLst>
          </c:dPt>
          <c:dPt>
            <c:idx val="4"/>
            <c:bubble3D val="0"/>
            <c:spPr>
              <a:solidFill>
                <a:srgbClr val="3498DB"/>
              </a:solidFill>
              <a:ln w="19050">
                <a:solidFill>
                  <a:schemeClr val="lt1"/>
                </a:solidFill>
              </a:ln>
              <a:effectLst/>
            </c:spPr>
            <c:extLst>
              <c:ext xmlns:c16="http://schemas.microsoft.com/office/drawing/2014/chart" uri="{C3380CC4-5D6E-409C-BE32-E72D297353CC}">
                <c16:uniqueId val="{00000008-6F9B-43E1-9D60-73BFD18213B0}"/>
              </c:ext>
            </c:extLst>
          </c:dPt>
          <c:dPt>
            <c:idx val="5"/>
            <c:bubble3D val="0"/>
            <c:spPr>
              <a:solidFill>
                <a:srgbClr val="1DB954"/>
              </a:solidFill>
              <a:ln w="19050">
                <a:solidFill>
                  <a:schemeClr val="lt1"/>
                </a:solidFill>
              </a:ln>
              <a:effectLst/>
            </c:spPr>
            <c:extLst>
              <c:ext xmlns:c16="http://schemas.microsoft.com/office/drawing/2014/chart" uri="{C3380CC4-5D6E-409C-BE32-E72D297353CC}">
                <c16:uniqueId val="{00000002-6F9B-43E1-9D60-73BFD18213B0}"/>
              </c:ext>
            </c:extLst>
          </c:dPt>
          <c:dPt>
            <c:idx val="6"/>
            <c:bubble3D val="0"/>
            <c:spPr>
              <a:solidFill>
                <a:srgbClr val="F1C40F"/>
              </a:solidFill>
              <a:ln w="19050">
                <a:solidFill>
                  <a:schemeClr val="lt1"/>
                </a:solidFill>
              </a:ln>
              <a:effectLst/>
            </c:spPr>
            <c:extLst>
              <c:ext xmlns:c16="http://schemas.microsoft.com/office/drawing/2014/chart" uri="{C3380CC4-5D6E-409C-BE32-E72D297353CC}">
                <c16:uniqueId val="{00000003-6F9B-43E1-9D60-73BFD18213B0}"/>
              </c:ext>
            </c:extLst>
          </c:dPt>
          <c:dPt>
            <c:idx val="7"/>
            <c:bubble3D val="0"/>
            <c:spPr>
              <a:solidFill>
                <a:srgbClr val="3498DB"/>
              </a:solidFill>
              <a:ln w="19050">
                <a:solidFill>
                  <a:schemeClr val="lt1"/>
                </a:solidFill>
              </a:ln>
              <a:effectLst/>
            </c:spPr>
            <c:extLst>
              <c:ext xmlns:c16="http://schemas.microsoft.com/office/drawing/2014/chart" uri="{C3380CC4-5D6E-409C-BE32-E72D297353CC}">
                <c16:uniqueId val="{0000000F-D3BB-4384-B076-74B6321B3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3BB-4384-B076-74B6321B3EAA}"/>
              </c:ext>
            </c:extLst>
          </c:dPt>
          <c:dPt>
            <c:idx val="9"/>
            <c:bubble3D val="0"/>
            <c:spPr>
              <a:solidFill>
                <a:srgbClr val="F1C40F"/>
              </a:solidFill>
              <a:ln w="19050">
                <a:solidFill>
                  <a:schemeClr val="lt1"/>
                </a:solidFill>
              </a:ln>
              <a:effectLst/>
            </c:spPr>
            <c:extLst>
              <c:ext xmlns:c16="http://schemas.microsoft.com/office/drawing/2014/chart" uri="{C3380CC4-5D6E-409C-BE32-E72D297353CC}">
                <c16:uniqueId val="{00000013-D3BB-4384-B076-74B6321B3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388-4A33-8914-3C3BCE22784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388-4A33-8914-3C3BCE22784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388-4A33-8914-3C3BCE22784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388-4A33-8914-3C3BCE22784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388-4A33-8914-3C3BCE22784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388-4A33-8914-3C3BCE22784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388-4A33-8914-3C3BCE22784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388-4A33-8914-3C3BCE22784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388-4A33-8914-3C3BCE22784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388-4A33-8914-3C3BCE22784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388-4A33-8914-3C3BCE22784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388-4A33-8914-3C3BCE22784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388-4A33-8914-3C3BCE22784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388-4A33-8914-3C3BCE22784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388-4A33-8914-3C3BCE22784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388-4A33-8914-3C3BCE22784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388-4A33-8914-3C3BCE22784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6388-4A33-8914-3C3BCE22784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6388-4A33-8914-3C3BCE22784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6388-4A33-8914-3C3BCE22784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6388-4A33-8914-3C3BCE22784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6388-4A33-8914-3C3BCE22784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6388-4A33-8914-3C3BCE22784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6388-4A33-8914-3C3BCE22784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6388-4A33-8914-3C3BCE22784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6388-4A33-8914-3C3BCE22784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6388-4A33-8914-3C3BCE22784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6388-4A33-8914-3C3BCE22784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6388-4A33-8914-3C3BCE2278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'Genre Distribution'!$A$4:$A$14</c:f>
              <c:strCache>
                <c:ptCount val="10"/>
                <c:pt idx="0">
                  <c:v>Alternative Pop</c:v>
                </c:pt>
                <c:pt idx="1">
                  <c:v>Alternative Rock</c:v>
                </c:pt>
                <c:pt idx="2">
                  <c:v>Billboard Hot 100</c:v>
                </c:pt>
                <c:pt idx="3">
                  <c:v>Hip Hop</c:v>
                </c:pt>
                <c:pt idx="4">
                  <c:v>Indie Pop</c:v>
                </c:pt>
                <c:pt idx="5">
                  <c:v>K-Pop</c:v>
                </c:pt>
                <c:pt idx="6">
                  <c:v>Pop</c:v>
                </c:pt>
                <c:pt idx="7">
                  <c:v>Reggaeton</c:v>
                </c:pt>
                <c:pt idx="8">
                  <c:v>Regional Mexicano</c:v>
                </c:pt>
                <c:pt idx="9">
                  <c:v>Rock</c:v>
                </c:pt>
              </c:strCache>
            </c:strRef>
          </c:cat>
          <c:val>
            <c:numRef>
              <c:f>'Genre Distribution'!$B$4:$B$14</c:f>
              <c:numCache>
                <c:formatCode>General</c:formatCode>
                <c:ptCount val="10"/>
                <c:pt idx="0">
                  <c:v>9993132</c:v>
                </c:pt>
                <c:pt idx="1">
                  <c:v>11782572</c:v>
                </c:pt>
                <c:pt idx="2">
                  <c:v>12961759</c:v>
                </c:pt>
                <c:pt idx="3">
                  <c:v>11718989</c:v>
                </c:pt>
                <c:pt idx="4">
                  <c:v>12901895</c:v>
                </c:pt>
                <c:pt idx="5">
                  <c:v>72752485</c:v>
                </c:pt>
                <c:pt idx="6">
                  <c:v>96866003</c:v>
                </c:pt>
                <c:pt idx="7">
                  <c:v>17181163</c:v>
                </c:pt>
                <c:pt idx="8">
                  <c:v>12704416</c:v>
                </c:pt>
                <c:pt idx="9">
                  <c:v>24820619</c:v>
                </c:pt>
              </c:numCache>
            </c:numRef>
          </c:val>
          <c:extLst>
            <c:ext xmlns:c16="http://schemas.microsoft.com/office/drawing/2014/chart" uri="{C3380CC4-5D6E-409C-BE32-E72D297353CC}">
              <c16:uniqueId val="{00000000-6F9B-43E1-9D60-73BFD18213B0}"/>
            </c:ext>
          </c:extLst>
        </c:ser>
        <c:dLbls>
          <c:showLegendKey val="0"/>
          <c:showVal val="1"/>
          <c:showCatName val="0"/>
          <c:showSerName val="0"/>
          <c:showPercent val="0"/>
          <c:showBubbleSize val="0"/>
          <c:showLeaderLines val="1"/>
        </c:dLbls>
        <c:firstSliceAng val="0"/>
        <c:holeSize val="75"/>
      </c:doughnutChart>
      <c:spPr>
        <a:solidFill>
          <a:srgbClr val="12121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rgbClr val="1914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[Spotify_Dashboard.xlsx]Country Trends!PivotTable6</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Country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'Country Trends'!$B$3</c:f>
              <c:strCache>
                <c:ptCount val="1"/>
                <c:pt idx="0">
                  <c:v>Total</c:v>
                </c:pt>
              </c:strCache>
            </c:strRef>
          </c:tx>
          <c:spPr>
            <a:solidFill>
              <a:srgbClr val="1DB954"/>
            </a:solidFill>
            <a:ln>
              <a:noFill/>
            </a:ln>
            <a:effectLst/>
            <a:sp3d/>
          </c:spPr>
          <c:invertIfNegative val="0"/>
          <c:cat>
            <c:strRef>
              <c:f>'Country Trends'!$A$4:$A$14</c:f>
              <c:strCache>
                <c:ptCount val="10"/>
                <c:pt idx="0">
                  <c:v>AU</c:v>
                </c:pt>
                <c:pt idx="1">
                  <c:v>CA</c:v>
                </c:pt>
                <c:pt idx="2">
                  <c:v>CO</c:v>
                </c:pt>
                <c:pt idx="3">
                  <c:v>England</c:v>
                </c:pt>
                <c:pt idx="4">
                  <c:v>Florida</c:v>
                </c:pt>
                <c:pt idx="5">
                  <c:v>GB</c:v>
                </c:pt>
                <c:pt idx="6">
                  <c:v>KR</c:v>
                </c:pt>
                <c:pt idx="7">
                  <c:v>MX</c:v>
                </c:pt>
                <c:pt idx="8">
                  <c:v>PR</c:v>
                </c:pt>
                <c:pt idx="9">
                  <c:v>US</c:v>
                </c:pt>
              </c:strCache>
            </c:strRef>
          </c:cat>
          <c:val>
            <c:numRef>
              <c:f>'Country Trends'!$B$4:$B$14</c:f>
              <c:numCache>
                <c:formatCode>General</c:formatCode>
                <c:ptCount val="10"/>
                <c:pt idx="0">
                  <c:v>9164547</c:v>
                </c:pt>
                <c:pt idx="1">
                  <c:v>14740406</c:v>
                </c:pt>
                <c:pt idx="2">
                  <c:v>5960365</c:v>
                </c:pt>
                <c:pt idx="3">
                  <c:v>18154513</c:v>
                </c:pt>
                <c:pt idx="4">
                  <c:v>8265098</c:v>
                </c:pt>
                <c:pt idx="5">
                  <c:v>43427153</c:v>
                </c:pt>
                <c:pt idx="6">
                  <c:v>76140445</c:v>
                </c:pt>
                <c:pt idx="7">
                  <c:v>12490791</c:v>
                </c:pt>
                <c:pt idx="8">
                  <c:v>22457857</c:v>
                </c:pt>
                <c:pt idx="9">
                  <c:v>144060230</c:v>
                </c:pt>
              </c:numCache>
            </c:numRef>
          </c:val>
          <c:extLst>
            <c:ext xmlns:c16="http://schemas.microsoft.com/office/drawing/2014/chart" uri="{C3380CC4-5D6E-409C-BE32-E72D297353CC}">
              <c16:uniqueId val="{00000000-9D91-4744-AF21-1A320D9F87E4}"/>
            </c:ext>
          </c:extLst>
        </c:ser>
        <c:dLbls>
          <c:showLegendKey val="0"/>
          <c:showVal val="0"/>
          <c:showCatName val="0"/>
          <c:showSerName val="0"/>
          <c:showPercent val="0"/>
          <c:showBubbleSize val="0"/>
        </c:dLbls>
        <c:gapWidth val="150"/>
        <c:shape val="box"/>
        <c:axId val="1502813328"/>
        <c:axId val="1504143008"/>
        <c:axId val="0"/>
      </c:bar3DChart>
      <c:catAx>
        <c:axId val="150281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504143008"/>
        <c:crosses val="autoZero"/>
        <c:auto val="1"/>
        <c:lblAlgn val="ctr"/>
        <c:lblOffset val="100"/>
        <c:noMultiLvlLbl val="0"/>
      </c:catAx>
      <c:valAx>
        <c:axId val="1504143008"/>
        <c:scaling>
          <c:orientation val="minMax"/>
        </c:scaling>
        <c:delete val="0"/>
        <c:axPos val="b"/>
        <c:majorGridlines>
          <c:spPr>
            <a:ln w="9525" cap="flat" cmpd="sng" algn="ctr">
              <a:solidFill>
                <a:srgbClr val="2E2E2E"/>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50281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rgbClr val="1914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[Spotify_Dashboard.xlsx]Trend Analysis!PivotTable7</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'Trend Analysis'!$B$3:$B$4</c:f>
              <c:strCache>
                <c:ptCount val="1"/>
                <c:pt idx="0">
                  <c:v>Falling</c:v>
                </c:pt>
              </c:strCache>
            </c:strRef>
          </c:tx>
          <c:spPr>
            <a:solidFill>
              <a:srgbClr val="1DB954"/>
            </a:solidFill>
            <a:ln>
              <a:noFill/>
            </a:ln>
            <a:effectLst/>
            <a:sp3d/>
          </c:spPr>
          <c:invertIfNegative val="0"/>
          <c:cat>
            <c:strRef>
              <c:f>'Trend Analysis'!$A$5</c:f>
              <c:strCache>
                <c:ptCount val="1"/>
                <c:pt idx="0">
                  <c:v>Total</c:v>
                </c:pt>
              </c:strCache>
            </c:strRef>
          </c:cat>
          <c:val>
            <c:numRef>
              <c:f>'Trend Analysis'!$B$5</c:f>
              <c:numCache>
                <c:formatCode>General</c:formatCode>
                <c:ptCount val="1"/>
                <c:pt idx="0">
                  <c:v>294554327</c:v>
                </c:pt>
              </c:numCache>
            </c:numRef>
          </c:val>
          <c:extLst>
            <c:ext xmlns:c16="http://schemas.microsoft.com/office/drawing/2014/chart" uri="{C3380CC4-5D6E-409C-BE32-E72D297353CC}">
              <c16:uniqueId val="{00000000-BE3F-44CC-A8C1-AC763D871170}"/>
            </c:ext>
          </c:extLst>
        </c:ser>
        <c:ser>
          <c:idx val="1"/>
          <c:order val="1"/>
          <c:tx>
            <c:strRef>
              <c:f>'Trend Analysis'!$C$3:$C$4</c:f>
              <c:strCache>
                <c:ptCount val="1"/>
                <c:pt idx="0">
                  <c:v>Rising</c:v>
                </c:pt>
              </c:strCache>
            </c:strRef>
          </c:tx>
          <c:spPr>
            <a:solidFill>
              <a:srgbClr val="E50914"/>
            </a:solidFill>
            <a:ln>
              <a:noFill/>
            </a:ln>
            <a:effectLst/>
            <a:sp3d/>
          </c:spPr>
          <c:invertIfNegative val="0"/>
          <c:cat>
            <c:strRef>
              <c:f>'Trend Analysis'!$A$5</c:f>
              <c:strCache>
                <c:ptCount val="1"/>
                <c:pt idx="0">
                  <c:v>Total</c:v>
                </c:pt>
              </c:strCache>
            </c:strRef>
          </c:cat>
          <c:val>
            <c:numRef>
              <c:f>'Trend Analysis'!$C$5</c:f>
              <c:numCache>
                <c:formatCode>General</c:formatCode>
                <c:ptCount val="1"/>
                <c:pt idx="0">
                  <c:v>78064892</c:v>
                </c:pt>
              </c:numCache>
            </c:numRef>
          </c:val>
          <c:extLst>
            <c:ext xmlns:c16="http://schemas.microsoft.com/office/drawing/2014/chart" uri="{C3380CC4-5D6E-409C-BE32-E72D297353CC}">
              <c16:uniqueId val="{00000002-3517-4FE1-A4F3-0F4D8C048968}"/>
            </c:ext>
          </c:extLst>
        </c:ser>
        <c:dLbls>
          <c:showLegendKey val="0"/>
          <c:showVal val="0"/>
          <c:showCatName val="0"/>
          <c:showSerName val="0"/>
          <c:showPercent val="0"/>
          <c:showBubbleSize val="0"/>
        </c:dLbls>
        <c:gapWidth val="150"/>
        <c:shape val="box"/>
        <c:axId val="1612732608"/>
        <c:axId val="1612733088"/>
        <c:axId val="0"/>
      </c:bar3DChart>
      <c:catAx>
        <c:axId val="161273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Trend</a:t>
                </a:r>
              </a:p>
            </c:rich>
          </c:tx>
          <c:layout>
            <c:manualLayout>
              <c:xMode val="edge"/>
              <c:yMode val="edge"/>
              <c:x val="0.49874125109361328"/>
              <c:y val="0.878190069991251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612733088"/>
        <c:crosses val="autoZero"/>
        <c:auto val="1"/>
        <c:lblAlgn val="ctr"/>
        <c:lblOffset val="100"/>
        <c:noMultiLvlLbl val="0"/>
      </c:catAx>
      <c:valAx>
        <c:axId val="1612733088"/>
        <c:scaling>
          <c:orientation val="minMax"/>
        </c:scaling>
        <c:delete val="0"/>
        <c:axPos val="l"/>
        <c:majorGridlines>
          <c:spPr>
            <a:ln w="9525" cap="flat" cmpd="sng" algn="ctr">
              <a:solidFill>
                <a:srgbClr val="2E2E2E"/>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Grand</a:t>
                </a:r>
                <a:r>
                  <a:rPr lang="en-US" baseline="0">
                    <a:solidFill>
                      <a:schemeClr val="bg1"/>
                    </a:solidFill>
                  </a:rPr>
                  <a:t> Total</a:t>
                </a:r>
                <a:endParaRPr lang="en-US">
                  <a:solidFill>
                    <a:schemeClr val="bg1"/>
                  </a:solidFill>
                </a:endParaRPr>
              </a:p>
            </c:rich>
          </c:tx>
          <c:layout>
            <c:manualLayout>
              <c:xMode val="edge"/>
              <c:yMode val="edge"/>
              <c:x val="5.2484470691163611E-2"/>
              <c:y val="0.43267133275007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6127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rgbClr val="1914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[Spotify_Dashboard.xlsx]Longevity vs. Popularity!PivotTable8</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Longevity vs.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'Longevity vs. Popularity'!$B$3</c:f>
              <c:strCache>
                <c:ptCount val="1"/>
                <c:pt idx="0">
                  <c:v>Average of days</c:v>
                </c:pt>
              </c:strCache>
            </c:strRef>
          </c:tx>
          <c:spPr>
            <a:solidFill>
              <a:schemeClr val="accent1"/>
            </a:solidFill>
            <a:ln>
              <a:noFill/>
            </a:ln>
            <a:effectLst/>
          </c:spPr>
          <c:invertIfNegative val="0"/>
          <c:cat>
            <c:strRef>
              <c:f>'Longevity vs. Popularity'!$A$4:$A$6</c:f>
              <c:strCache>
                <c:ptCount val="2"/>
                <c:pt idx="0">
                  <c:v>Average</c:v>
                </c:pt>
                <c:pt idx="1">
                  <c:v>Trending</c:v>
                </c:pt>
              </c:strCache>
            </c:strRef>
          </c:cat>
          <c:val>
            <c:numRef>
              <c:f>'Longevity vs. Popularity'!$B$4:$B$6</c:f>
              <c:numCache>
                <c:formatCode>General</c:formatCode>
                <c:ptCount val="2"/>
                <c:pt idx="0">
                  <c:v>551.04046242774564</c:v>
                </c:pt>
                <c:pt idx="1">
                  <c:v>25.4</c:v>
                </c:pt>
              </c:numCache>
            </c:numRef>
          </c:val>
          <c:extLst>
            <c:ext xmlns:c16="http://schemas.microsoft.com/office/drawing/2014/chart" uri="{C3380CC4-5D6E-409C-BE32-E72D297353CC}">
              <c16:uniqueId val="{00000000-01E8-4A2D-9040-4E34367529BB}"/>
            </c:ext>
          </c:extLst>
        </c:ser>
        <c:ser>
          <c:idx val="1"/>
          <c:order val="1"/>
          <c:tx>
            <c:strRef>
              <c:f>'Longevity vs. Popularity'!$C$3</c:f>
              <c:strCache>
                <c:ptCount val="1"/>
                <c:pt idx="0">
                  <c:v>Sum of streams</c:v>
                </c:pt>
              </c:strCache>
            </c:strRef>
          </c:tx>
          <c:spPr>
            <a:solidFill>
              <a:srgbClr val="1DB954"/>
            </a:solidFill>
            <a:ln>
              <a:noFill/>
            </a:ln>
            <a:effectLst/>
          </c:spPr>
          <c:invertIfNegative val="0"/>
          <c:trendline>
            <c:spPr>
              <a:ln w="19050" cap="rnd">
                <a:solidFill>
                  <a:srgbClr val="9B59B6"/>
                </a:solidFill>
                <a:prstDash val="sysDot"/>
              </a:ln>
              <a:effectLst/>
            </c:spPr>
            <c:trendlineType val="linear"/>
            <c:dispRSqr val="0"/>
            <c:dispEq val="0"/>
          </c:trendline>
          <c:cat>
            <c:strRef>
              <c:f>'Longevity vs. Popularity'!$A$4:$A$6</c:f>
              <c:strCache>
                <c:ptCount val="2"/>
                <c:pt idx="0">
                  <c:v>Average</c:v>
                </c:pt>
                <c:pt idx="1">
                  <c:v>Trending</c:v>
                </c:pt>
              </c:strCache>
            </c:strRef>
          </c:cat>
          <c:val>
            <c:numRef>
              <c:f>'Longevity vs. Popularity'!$C$4:$C$6</c:f>
              <c:numCache>
                <c:formatCode>General</c:formatCode>
                <c:ptCount val="2"/>
                <c:pt idx="0">
                  <c:v>338260458</c:v>
                </c:pt>
                <c:pt idx="1">
                  <c:v>34358761</c:v>
                </c:pt>
              </c:numCache>
            </c:numRef>
          </c:val>
          <c:extLst>
            <c:ext xmlns:c16="http://schemas.microsoft.com/office/drawing/2014/chart" uri="{C3380CC4-5D6E-409C-BE32-E72D297353CC}">
              <c16:uniqueId val="{00000001-01E8-4A2D-9040-4E34367529BB}"/>
            </c:ext>
          </c:extLst>
        </c:ser>
        <c:dLbls>
          <c:showLegendKey val="0"/>
          <c:showVal val="0"/>
          <c:showCatName val="0"/>
          <c:showSerName val="0"/>
          <c:showPercent val="0"/>
          <c:showBubbleSize val="0"/>
        </c:dLbls>
        <c:gapWidth val="219"/>
        <c:overlap val="-27"/>
        <c:axId val="1707434240"/>
        <c:axId val="1707428000"/>
      </c:barChart>
      <c:catAx>
        <c:axId val="170743424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FFFF"/>
                    </a:solidFill>
                    <a:latin typeface="+mn-lt"/>
                    <a:ea typeface="+mn-ea"/>
                    <a:cs typeface="+mn-cs"/>
                  </a:defRPr>
                </a:pPr>
                <a:r>
                  <a:rPr lang="en-US" sz="1000" b="1" i="0" u="none" strike="noStrike" baseline="0">
                    <a:effectLst/>
                  </a:rPr>
                  <a:t>Average of days</a:t>
                </a:r>
                <a:r>
                  <a:rPr lang="en-US" sz="1000" b="0" i="0" u="none" strike="noStrike" baseline="0"/>
                  <a:t> </a:t>
                </a:r>
                <a:endParaRPr lang="en-US">
                  <a:solidFill>
                    <a:srgbClr val="FFFFFF"/>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7428000"/>
        <c:crosses val="autoZero"/>
        <c:auto val="1"/>
        <c:lblAlgn val="ctr"/>
        <c:lblOffset val="100"/>
        <c:noMultiLvlLbl val="0"/>
      </c:catAx>
      <c:valAx>
        <c:axId val="1707428000"/>
        <c:scaling>
          <c:orientation val="minMax"/>
        </c:scaling>
        <c:delete val="0"/>
        <c:axPos val="l"/>
        <c:majorGridlines>
          <c:spPr>
            <a:ln w="9525" cap="flat" cmpd="sng" algn="ctr">
              <a:solidFill>
                <a:srgbClr val="2E2E2E"/>
              </a:solidFill>
              <a:round/>
            </a:ln>
            <a:effectLst/>
          </c:spPr>
        </c:majorGridlines>
        <c:title>
          <c:tx>
            <c:rich>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r>
                  <a:rPr lang="en-US" sz="1000" b="1" i="0" u="none" strike="noStrike" baseline="0">
                    <a:effectLst/>
                  </a:rPr>
                  <a:t>Sum of streams</a:t>
                </a:r>
                <a:r>
                  <a:rPr lang="en-US" sz="1000" b="0" i="0" u="none" strike="noStrike" baseline="0"/>
                  <a:t> </a:t>
                </a:r>
                <a:endParaRPr lang="en-US">
                  <a:solidFill>
                    <a:srgbClr val="FFFFFF"/>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743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[Spotify_Dashboard.xlsx]Top Artists by Streams!PivotTable3</c:name>
    <c:fmtId val="7"/>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Top Artists by Streams</a:t>
            </a:r>
          </a:p>
        </c:rich>
      </c:tx>
      <c:overlay val="0"/>
      <c:spPr>
        <a:noFill/>
        <a:ln>
          <a:noFill/>
        </a:ln>
        <a:effectLst/>
      </c:spPr>
    </c:title>
    <c:autoTitleDeleted val="0"/>
    <c:pivotFmts>
      <c:pivotFmt>
        <c:idx val="0"/>
        <c:spPr>
          <a:solidFill>
            <a:srgbClr val="1DB954"/>
          </a:solidFill>
          <a:ln>
            <a:noFill/>
          </a:ln>
          <a:effectLst/>
          <a:sp3d/>
        </c:spPr>
        <c:marker>
          <c:symbol val="none"/>
        </c:marker>
        <c:dLbl>
          <c:idx val="0"/>
          <c:delete val="1"/>
          <c:extLst>
            <c:ext xmlns:c15="http://schemas.microsoft.com/office/drawing/2012/chart" uri="{CE6537A1-D6FC-4f65-9D91-7224C49458BB}"/>
          </c:extLst>
        </c:dLbl>
      </c:pivotFmt>
      <c:pivotFmt>
        <c:idx val="1"/>
        <c:spPr>
          <a:solidFill>
            <a:srgbClr val="1DB954"/>
          </a:solidFill>
          <a:ln>
            <a:noFill/>
          </a:ln>
          <a:effectLst/>
          <a:sp3d/>
        </c:spPr>
        <c:marker>
          <c:symbol val="none"/>
        </c:marker>
        <c:dLbl>
          <c:idx val="0"/>
          <c:delete val="1"/>
          <c:extLst>
            <c:ext xmlns:c15="http://schemas.microsoft.com/office/drawing/2012/chart" uri="{CE6537A1-D6FC-4f65-9D91-7224C49458BB}"/>
          </c:extLst>
        </c:dLbl>
      </c:pivotFmt>
      <c:pivotFmt>
        <c:idx val="2"/>
        <c:spPr>
          <a:solidFill>
            <a:srgbClr val="1DB954"/>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1DB954"/>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Artists by Streams'!$B$3</c:f>
              <c:strCache>
                <c:ptCount val="1"/>
                <c:pt idx="0">
                  <c:v>Total</c:v>
                </c:pt>
              </c:strCache>
            </c:strRef>
          </c:tx>
          <c:spPr>
            <a:solidFill>
              <a:srgbClr val="1DB954"/>
            </a:solidFill>
            <a:ln>
              <a:noFill/>
            </a:ln>
            <a:effectLst/>
            <a:sp3d/>
          </c:spPr>
          <c:invertIfNegative val="0"/>
          <c:cat>
            <c:strRef>
              <c:f>'Top Artists by Streams'!$A$4:$A$14</c:f>
              <c:strCache>
                <c:ptCount val="10"/>
                <c:pt idx="0">
                  <c:v>Bad Bunny</c:v>
                </c:pt>
                <c:pt idx="1">
                  <c:v>Bruno Mars</c:v>
                </c:pt>
                <c:pt idx="2">
                  <c:v>BTS</c:v>
                </c:pt>
                <c:pt idx="3">
                  <c:v>Dominic Fike</c:v>
                </c:pt>
                <c:pt idx="4">
                  <c:v>Harry Styles</c:v>
                </c:pt>
                <c:pt idx="5">
                  <c:v>Olivia Dean</c:v>
                </c:pt>
                <c:pt idx="6">
                  <c:v>Peso Pluma</c:v>
                </c:pt>
                <c:pt idx="7">
                  <c:v>Rihanna</c:v>
                </c:pt>
                <c:pt idx="8">
                  <c:v>sombr</c:v>
                </c:pt>
                <c:pt idx="9">
                  <c:v>Taylor Swift</c:v>
                </c:pt>
              </c:strCache>
            </c:strRef>
          </c:cat>
          <c:val>
            <c:numRef>
              <c:f>'Top Artists by Streams'!$B$4:$B$14</c:f>
              <c:numCache>
                <c:formatCode>General</c:formatCode>
                <c:ptCount val="10"/>
                <c:pt idx="0">
                  <c:v>19139989</c:v>
                </c:pt>
                <c:pt idx="1">
                  <c:v>13539825</c:v>
                </c:pt>
                <c:pt idx="2">
                  <c:v>72752485</c:v>
                </c:pt>
                <c:pt idx="3">
                  <c:v>8265098</c:v>
                </c:pt>
                <c:pt idx="4">
                  <c:v>11746536</c:v>
                </c:pt>
                <c:pt idx="5">
                  <c:v>10997054</c:v>
                </c:pt>
                <c:pt idx="6">
                  <c:v>6563616</c:v>
                </c:pt>
                <c:pt idx="7">
                  <c:v>9150991</c:v>
                </c:pt>
                <c:pt idx="8">
                  <c:v>9519033</c:v>
                </c:pt>
                <c:pt idx="9">
                  <c:v>8293499</c:v>
                </c:pt>
              </c:numCache>
            </c:numRef>
          </c:val>
          <c:extLst>
            <c:ext xmlns:c16="http://schemas.microsoft.com/office/drawing/2014/chart" uri="{C3380CC4-5D6E-409C-BE32-E72D297353CC}">
              <c16:uniqueId val="{00000002-7C9E-454D-9482-45235DA5D167}"/>
            </c:ext>
          </c:extLst>
        </c:ser>
        <c:dLbls>
          <c:showLegendKey val="0"/>
          <c:showVal val="0"/>
          <c:showCatName val="0"/>
          <c:showSerName val="0"/>
          <c:showPercent val="0"/>
          <c:showBubbleSize val="0"/>
        </c:dLbls>
        <c:gapWidth val="150"/>
        <c:shape val="box"/>
        <c:axId val="1703686128"/>
        <c:axId val="1703689968"/>
        <c:axId val="0"/>
      </c:bar3DChart>
      <c:catAx>
        <c:axId val="170368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9968"/>
        <c:crosses val="autoZero"/>
        <c:auto val="1"/>
        <c:lblAlgn val="ctr"/>
        <c:lblOffset val="100"/>
        <c:noMultiLvlLbl val="0"/>
      </c:catAx>
      <c:valAx>
        <c:axId val="1703689968"/>
        <c:scaling>
          <c:orientation val="minMax"/>
        </c:scaling>
        <c:delete val="0"/>
        <c:axPos val="l"/>
        <c:majorGridlines>
          <c:spPr>
            <a:ln w="9525" cap="flat" cmpd="sng" algn="ctr">
              <a:solidFill>
                <a:srgbClr val="2E2E2E"/>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61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showDLblsOverMax val="0"/>
    <c:extLst/>
  </c:chart>
  <c:spPr>
    <a:solidFill>
      <a:srgbClr val="191414">
        <a:alpha val="87000"/>
      </a:srgbClr>
    </a:solidFill>
    <a:ln w="9525" cap="flat" cmpd="sng" algn="ctr">
      <a:solidFill>
        <a:schemeClr val="bg1">
          <a:lumMod val="50000"/>
          <a:alpha val="8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[Spotify_Dashboard.xlsx]Longevity vs. Popularity!PivotTable8</c:name>
    <c:fmtId val="26"/>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Longevity vs.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'Longevity vs. Popularity'!$B$3</c:f>
              <c:strCache>
                <c:ptCount val="1"/>
                <c:pt idx="0">
                  <c:v>Average of days</c:v>
                </c:pt>
              </c:strCache>
            </c:strRef>
          </c:tx>
          <c:spPr>
            <a:solidFill>
              <a:schemeClr val="accent1"/>
            </a:solidFill>
            <a:ln>
              <a:noFill/>
            </a:ln>
            <a:effectLst/>
          </c:spPr>
          <c:invertIfNegative val="0"/>
          <c:cat>
            <c:strRef>
              <c:f>'Longevity vs. Popularity'!$A$4:$A$6</c:f>
              <c:strCache>
                <c:ptCount val="2"/>
                <c:pt idx="0">
                  <c:v>Average</c:v>
                </c:pt>
                <c:pt idx="1">
                  <c:v>Trending</c:v>
                </c:pt>
              </c:strCache>
            </c:strRef>
          </c:cat>
          <c:val>
            <c:numRef>
              <c:f>'Longevity vs. Popularity'!$B$4:$B$6</c:f>
              <c:numCache>
                <c:formatCode>General</c:formatCode>
                <c:ptCount val="2"/>
                <c:pt idx="0">
                  <c:v>551.04046242774564</c:v>
                </c:pt>
                <c:pt idx="1">
                  <c:v>25.4</c:v>
                </c:pt>
              </c:numCache>
            </c:numRef>
          </c:val>
          <c:extLst>
            <c:ext xmlns:c16="http://schemas.microsoft.com/office/drawing/2014/chart" uri="{C3380CC4-5D6E-409C-BE32-E72D297353CC}">
              <c16:uniqueId val="{00000000-6ADA-4160-8288-B887323A803E}"/>
            </c:ext>
          </c:extLst>
        </c:ser>
        <c:ser>
          <c:idx val="1"/>
          <c:order val="1"/>
          <c:tx>
            <c:strRef>
              <c:f>'Longevity vs. Popularity'!$C$3</c:f>
              <c:strCache>
                <c:ptCount val="1"/>
                <c:pt idx="0">
                  <c:v>Sum of streams</c:v>
                </c:pt>
              </c:strCache>
            </c:strRef>
          </c:tx>
          <c:spPr>
            <a:solidFill>
              <a:srgbClr val="1DB954"/>
            </a:solidFill>
            <a:ln>
              <a:noFill/>
            </a:ln>
            <a:effectLst/>
          </c:spPr>
          <c:invertIfNegative val="0"/>
          <c:trendline>
            <c:spPr>
              <a:ln w="19050" cap="rnd">
                <a:solidFill>
                  <a:srgbClr val="9B59B6"/>
                </a:solidFill>
                <a:prstDash val="sysDot"/>
              </a:ln>
              <a:effectLst/>
            </c:spPr>
            <c:trendlineType val="linear"/>
            <c:dispRSqr val="0"/>
            <c:dispEq val="0"/>
          </c:trendline>
          <c:cat>
            <c:strRef>
              <c:f>'Longevity vs. Popularity'!$A$4:$A$6</c:f>
              <c:strCache>
                <c:ptCount val="2"/>
                <c:pt idx="0">
                  <c:v>Average</c:v>
                </c:pt>
                <c:pt idx="1">
                  <c:v>Trending</c:v>
                </c:pt>
              </c:strCache>
            </c:strRef>
          </c:cat>
          <c:val>
            <c:numRef>
              <c:f>'Longevity vs. Popularity'!$C$4:$C$6</c:f>
              <c:numCache>
                <c:formatCode>General</c:formatCode>
                <c:ptCount val="2"/>
                <c:pt idx="0">
                  <c:v>338260458</c:v>
                </c:pt>
                <c:pt idx="1">
                  <c:v>34358761</c:v>
                </c:pt>
              </c:numCache>
            </c:numRef>
          </c:val>
          <c:extLst>
            <c:ext xmlns:c16="http://schemas.microsoft.com/office/drawing/2014/chart" uri="{C3380CC4-5D6E-409C-BE32-E72D297353CC}">
              <c16:uniqueId val="{00000002-6ADA-4160-8288-B887323A803E}"/>
            </c:ext>
          </c:extLst>
        </c:ser>
        <c:dLbls>
          <c:showLegendKey val="0"/>
          <c:showVal val="0"/>
          <c:showCatName val="0"/>
          <c:showSerName val="0"/>
          <c:showPercent val="0"/>
          <c:showBubbleSize val="0"/>
        </c:dLbls>
        <c:gapWidth val="219"/>
        <c:overlap val="-27"/>
        <c:axId val="1707434240"/>
        <c:axId val="1707428000"/>
      </c:barChart>
      <c:catAx>
        <c:axId val="170743424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FFFF"/>
                    </a:solidFill>
                    <a:latin typeface="+mn-lt"/>
                    <a:ea typeface="+mn-ea"/>
                    <a:cs typeface="+mn-cs"/>
                  </a:defRPr>
                </a:pPr>
                <a:r>
                  <a:rPr lang="en-US" sz="1000" b="1" i="0" u="none" strike="noStrike" baseline="0">
                    <a:effectLst/>
                  </a:rPr>
                  <a:t>Average of days</a:t>
                </a:r>
                <a:r>
                  <a:rPr lang="en-US" sz="1000" b="0" i="0" u="none" strike="noStrike" baseline="0"/>
                  <a:t> </a:t>
                </a:r>
                <a:endParaRPr lang="en-US">
                  <a:solidFill>
                    <a:srgbClr val="FFFFFF"/>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7428000"/>
        <c:crosses val="autoZero"/>
        <c:auto val="1"/>
        <c:lblAlgn val="ctr"/>
        <c:lblOffset val="100"/>
        <c:noMultiLvlLbl val="0"/>
      </c:catAx>
      <c:valAx>
        <c:axId val="1707428000"/>
        <c:scaling>
          <c:orientation val="minMax"/>
        </c:scaling>
        <c:delete val="0"/>
        <c:axPos val="l"/>
        <c:majorGridlines>
          <c:spPr>
            <a:ln w="9525" cap="flat" cmpd="sng" algn="ctr">
              <a:solidFill>
                <a:srgbClr val="2E2E2E"/>
              </a:solidFill>
              <a:round/>
            </a:ln>
            <a:effectLst/>
          </c:spPr>
        </c:majorGridlines>
        <c:title>
          <c:tx>
            <c:rich>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r>
                  <a:rPr lang="en-US" sz="1000" b="1" i="0" u="none" strike="noStrike" baseline="0">
                    <a:effectLst/>
                  </a:rPr>
                  <a:t>Sum of streams</a:t>
                </a:r>
                <a:r>
                  <a:rPr lang="en-US" sz="1000" b="0" i="0" u="none" strike="noStrike" baseline="0"/>
                  <a:t> </a:t>
                </a:r>
                <a:endParaRPr lang="en-US">
                  <a:solidFill>
                    <a:srgbClr val="FFFFFF"/>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743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[Spotify_Dashboard.xlsx]Trend Analysis!PivotTable7</c:name>
    <c:fmtId val="16"/>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'Trend Analysis'!$B$3:$B$4</c:f>
              <c:strCache>
                <c:ptCount val="1"/>
                <c:pt idx="0">
                  <c:v>Falling</c:v>
                </c:pt>
              </c:strCache>
            </c:strRef>
          </c:tx>
          <c:spPr>
            <a:solidFill>
              <a:srgbClr val="1DB954"/>
            </a:solidFill>
            <a:ln>
              <a:noFill/>
            </a:ln>
            <a:effectLst/>
            <a:sp3d/>
          </c:spPr>
          <c:invertIfNegative val="0"/>
          <c:cat>
            <c:strRef>
              <c:f>'Trend Analysis'!$A$5</c:f>
              <c:strCache>
                <c:ptCount val="1"/>
                <c:pt idx="0">
                  <c:v>Total</c:v>
                </c:pt>
              </c:strCache>
            </c:strRef>
          </c:cat>
          <c:val>
            <c:numRef>
              <c:f>'Trend Analysis'!$B$5</c:f>
              <c:numCache>
                <c:formatCode>General</c:formatCode>
                <c:ptCount val="1"/>
                <c:pt idx="0">
                  <c:v>294554327</c:v>
                </c:pt>
              </c:numCache>
            </c:numRef>
          </c:val>
          <c:extLst>
            <c:ext xmlns:c16="http://schemas.microsoft.com/office/drawing/2014/chart" uri="{C3380CC4-5D6E-409C-BE32-E72D297353CC}">
              <c16:uniqueId val="{00000000-A0A8-4F12-94EF-29179BBA56A9}"/>
            </c:ext>
          </c:extLst>
        </c:ser>
        <c:ser>
          <c:idx val="1"/>
          <c:order val="1"/>
          <c:tx>
            <c:strRef>
              <c:f>'Trend Analysis'!$C$3:$C$4</c:f>
              <c:strCache>
                <c:ptCount val="1"/>
                <c:pt idx="0">
                  <c:v>Rising</c:v>
                </c:pt>
              </c:strCache>
            </c:strRef>
          </c:tx>
          <c:spPr>
            <a:solidFill>
              <a:srgbClr val="E50914"/>
            </a:solidFill>
            <a:ln>
              <a:noFill/>
            </a:ln>
            <a:effectLst/>
            <a:sp3d/>
          </c:spPr>
          <c:invertIfNegative val="0"/>
          <c:cat>
            <c:strRef>
              <c:f>'Trend Analysis'!$A$5</c:f>
              <c:strCache>
                <c:ptCount val="1"/>
                <c:pt idx="0">
                  <c:v>Total</c:v>
                </c:pt>
              </c:strCache>
            </c:strRef>
          </c:cat>
          <c:val>
            <c:numRef>
              <c:f>'Trend Analysis'!$C$5</c:f>
              <c:numCache>
                <c:formatCode>General</c:formatCode>
                <c:ptCount val="1"/>
                <c:pt idx="0">
                  <c:v>78064892</c:v>
                </c:pt>
              </c:numCache>
            </c:numRef>
          </c:val>
          <c:extLst>
            <c:ext xmlns:c16="http://schemas.microsoft.com/office/drawing/2014/chart" uri="{C3380CC4-5D6E-409C-BE32-E72D297353CC}">
              <c16:uniqueId val="{00000002-F9C7-4725-B368-5894429CF44A}"/>
            </c:ext>
          </c:extLst>
        </c:ser>
        <c:dLbls>
          <c:showLegendKey val="0"/>
          <c:showVal val="0"/>
          <c:showCatName val="0"/>
          <c:showSerName val="0"/>
          <c:showPercent val="0"/>
          <c:showBubbleSize val="0"/>
        </c:dLbls>
        <c:gapWidth val="150"/>
        <c:shape val="box"/>
        <c:axId val="1612732608"/>
        <c:axId val="1612733088"/>
        <c:axId val="0"/>
      </c:bar3DChart>
      <c:catAx>
        <c:axId val="161273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Trend</a:t>
                </a:r>
              </a:p>
            </c:rich>
          </c:tx>
          <c:layout>
            <c:manualLayout>
              <c:xMode val="edge"/>
              <c:yMode val="edge"/>
              <c:x val="0.49874125109361328"/>
              <c:y val="0.878190069991251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612733088"/>
        <c:crosses val="autoZero"/>
        <c:auto val="1"/>
        <c:lblAlgn val="ctr"/>
        <c:lblOffset val="100"/>
        <c:noMultiLvlLbl val="0"/>
      </c:catAx>
      <c:valAx>
        <c:axId val="1612733088"/>
        <c:scaling>
          <c:orientation val="minMax"/>
        </c:scaling>
        <c:delete val="0"/>
        <c:axPos val="l"/>
        <c:majorGridlines>
          <c:spPr>
            <a:ln w="9525" cap="flat" cmpd="sng" algn="ctr">
              <a:solidFill>
                <a:srgbClr val="2E2E2E"/>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Grand</a:t>
                </a:r>
                <a:r>
                  <a:rPr lang="en-US" baseline="0">
                    <a:solidFill>
                      <a:schemeClr val="bg1"/>
                    </a:solidFill>
                  </a:rPr>
                  <a:t> Total</a:t>
                </a:r>
                <a:endParaRPr lang="en-US">
                  <a:solidFill>
                    <a:schemeClr val="bg1"/>
                  </a:solidFill>
                </a:endParaRPr>
              </a:p>
            </c:rich>
          </c:tx>
          <c:layout>
            <c:manualLayout>
              <c:xMode val="edge"/>
              <c:yMode val="edge"/>
              <c:x val="5.2484470691163611E-2"/>
              <c:y val="0.43267133275007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6127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[Spotify_Dashboard.xlsx]Genre Distribution!PivotTable5</c:name>
    <c:fmtId val="1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Genre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w="19050">
            <a:solidFill>
              <a:schemeClr val="lt1"/>
            </a:solidFill>
          </a:ln>
          <a:effectLst/>
        </c:spPr>
      </c:pivotFmt>
      <c:pivotFmt>
        <c:idx val="2"/>
        <c:spPr>
          <a:solidFill>
            <a:srgbClr val="9B59B6"/>
          </a:solidFill>
          <a:ln w="19050">
            <a:solidFill>
              <a:schemeClr val="lt1"/>
            </a:solidFill>
          </a:ln>
          <a:effectLst/>
        </c:spPr>
      </c:pivotFmt>
      <c:pivotFmt>
        <c:idx val="3"/>
        <c:spPr>
          <a:solidFill>
            <a:srgbClr val="00CED1"/>
          </a:solidFill>
          <a:ln w="19050">
            <a:solidFill>
              <a:schemeClr val="lt1"/>
            </a:solidFill>
          </a:ln>
          <a:effectLst/>
        </c:spPr>
      </c:pivotFmt>
      <c:pivotFmt>
        <c:idx val="4"/>
        <c:spPr>
          <a:solidFill>
            <a:srgbClr val="E67E22"/>
          </a:solidFill>
          <a:ln w="19050">
            <a:solidFill>
              <a:schemeClr val="lt1"/>
            </a:solidFill>
          </a:ln>
          <a:effectLst/>
        </c:spPr>
      </c:pivotFmt>
      <c:pivotFmt>
        <c:idx val="5"/>
        <c:spPr>
          <a:solidFill>
            <a:srgbClr val="F1C40F"/>
          </a:solidFill>
          <a:ln w="19050">
            <a:solidFill>
              <a:schemeClr val="lt1"/>
            </a:solidFill>
          </a:ln>
          <a:effectLst/>
        </c:spPr>
      </c:pivotFmt>
      <c:pivotFmt>
        <c:idx val="6"/>
        <c:spPr>
          <a:solidFill>
            <a:srgbClr val="3498DB"/>
          </a:solidFill>
          <a:ln w="19050">
            <a:solidFill>
              <a:schemeClr val="lt1"/>
            </a:solidFill>
          </a:ln>
          <a:effectLst/>
        </c:spPr>
      </c:pivotFmt>
      <c:pivotFmt>
        <c:idx val="7"/>
        <c:spPr>
          <a:solidFill>
            <a:srgbClr val="B3B3B3"/>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CED1"/>
          </a:solidFill>
          <a:ln w="19050">
            <a:solidFill>
              <a:schemeClr val="lt1"/>
            </a:solidFill>
          </a:ln>
          <a:effectLst/>
        </c:spPr>
      </c:pivotFmt>
      <c:pivotFmt>
        <c:idx val="10"/>
        <c:spPr>
          <a:solidFill>
            <a:srgbClr val="E67E22"/>
          </a:solidFill>
          <a:ln w="19050">
            <a:solidFill>
              <a:schemeClr val="lt1"/>
            </a:solidFill>
          </a:ln>
          <a:effectLst/>
        </c:spPr>
      </c:pivotFmt>
      <c:pivotFmt>
        <c:idx val="11"/>
        <c:spPr>
          <a:solidFill>
            <a:srgbClr val="B3B3B3"/>
          </a:solidFill>
          <a:ln w="19050">
            <a:solidFill>
              <a:schemeClr val="lt1"/>
            </a:solidFill>
          </a:ln>
          <a:effectLst/>
        </c:spPr>
      </c:pivotFmt>
      <c:pivotFmt>
        <c:idx val="12"/>
        <c:spPr>
          <a:solidFill>
            <a:srgbClr val="F1C40F"/>
          </a:solidFill>
          <a:ln w="19050">
            <a:solidFill>
              <a:schemeClr val="lt1"/>
            </a:solidFill>
          </a:ln>
          <a:effectLst/>
        </c:spPr>
      </c:pivotFmt>
      <c:pivotFmt>
        <c:idx val="13"/>
        <c:spPr>
          <a:solidFill>
            <a:srgbClr val="3498DB"/>
          </a:solidFill>
          <a:ln w="19050">
            <a:solidFill>
              <a:schemeClr val="lt1"/>
            </a:solidFill>
          </a:ln>
          <a:effectLst/>
        </c:spPr>
      </c:pivotFmt>
      <c:pivotFmt>
        <c:idx val="14"/>
        <c:spPr>
          <a:solidFill>
            <a:srgbClr val="1DB954"/>
          </a:solidFill>
          <a:ln w="19050">
            <a:solidFill>
              <a:schemeClr val="lt1"/>
            </a:solidFill>
          </a:ln>
          <a:effectLst/>
        </c:spPr>
      </c:pivotFmt>
      <c:pivotFmt>
        <c:idx val="15"/>
        <c:spPr>
          <a:solidFill>
            <a:srgbClr val="9B59B6"/>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00CED1"/>
          </a:solidFill>
          <a:ln w="19050">
            <a:solidFill>
              <a:schemeClr val="lt1"/>
            </a:solidFill>
          </a:ln>
          <a:effectLst/>
        </c:spPr>
      </c:pivotFmt>
      <c:pivotFmt>
        <c:idx val="21"/>
        <c:spPr>
          <a:solidFill>
            <a:srgbClr val="E67E22"/>
          </a:solidFill>
          <a:ln w="19050">
            <a:solidFill>
              <a:schemeClr val="lt1"/>
            </a:solidFill>
          </a:ln>
          <a:effectLst/>
        </c:spPr>
      </c:pivotFmt>
      <c:pivotFmt>
        <c:idx val="22"/>
        <c:spPr>
          <a:solidFill>
            <a:srgbClr val="B3B3B3"/>
          </a:solidFill>
          <a:ln w="19050">
            <a:solidFill>
              <a:schemeClr val="lt1"/>
            </a:solidFill>
          </a:ln>
          <a:effectLst/>
        </c:spPr>
      </c:pivotFmt>
      <c:pivotFmt>
        <c:idx val="23"/>
        <c:spPr>
          <a:solidFill>
            <a:srgbClr val="F1C40F"/>
          </a:solidFill>
          <a:ln w="19050">
            <a:solidFill>
              <a:schemeClr val="lt1"/>
            </a:solidFill>
          </a:ln>
          <a:effectLst/>
        </c:spPr>
      </c:pivotFmt>
      <c:pivotFmt>
        <c:idx val="24"/>
        <c:spPr>
          <a:solidFill>
            <a:srgbClr val="3498DB"/>
          </a:solidFill>
          <a:ln w="19050">
            <a:solidFill>
              <a:schemeClr val="lt1"/>
            </a:solidFill>
          </a:ln>
          <a:effectLst/>
        </c:spPr>
      </c:pivotFmt>
      <c:pivotFmt>
        <c:idx val="25"/>
        <c:spPr>
          <a:solidFill>
            <a:srgbClr val="1DB954"/>
          </a:solidFill>
          <a:ln w="19050">
            <a:solidFill>
              <a:schemeClr val="lt1"/>
            </a:solidFill>
          </a:ln>
          <a:effectLst/>
        </c:spPr>
      </c:pivotFmt>
      <c:pivotFmt>
        <c:idx val="26"/>
        <c:spPr>
          <a:solidFill>
            <a:srgbClr val="9B59B6"/>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s>
    <c:plotArea>
      <c:layout/>
      <c:doughnutChart>
        <c:varyColors val="1"/>
        <c:ser>
          <c:idx val="0"/>
          <c:order val="0"/>
          <c:tx>
            <c:strRef>
              <c:f>'Genre Distribution'!$B$3</c:f>
              <c:strCache>
                <c:ptCount val="1"/>
                <c:pt idx="0">
                  <c:v>Total</c:v>
                </c:pt>
              </c:strCache>
            </c:strRef>
          </c:tx>
          <c:dPt>
            <c:idx val="0"/>
            <c:bubble3D val="0"/>
            <c:spPr>
              <a:solidFill>
                <a:srgbClr val="00CED1"/>
              </a:solidFill>
              <a:ln w="19050">
                <a:solidFill>
                  <a:schemeClr val="lt1"/>
                </a:solidFill>
              </a:ln>
              <a:effectLst/>
            </c:spPr>
            <c:extLst>
              <c:ext xmlns:c16="http://schemas.microsoft.com/office/drawing/2014/chart" uri="{C3380CC4-5D6E-409C-BE32-E72D297353CC}">
                <c16:uniqueId val="{00000001-67F6-4A07-9B86-38623FA27328}"/>
              </c:ext>
            </c:extLst>
          </c:dPt>
          <c:dPt>
            <c:idx val="1"/>
            <c:bubble3D val="0"/>
            <c:spPr>
              <a:solidFill>
                <a:srgbClr val="E67E22"/>
              </a:solidFill>
              <a:ln w="19050">
                <a:solidFill>
                  <a:schemeClr val="lt1"/>
                </a:solidFill>
              </a:ln>
              <a:effectLst/>
            </c:spPr>
            <c:extLst>
              <c:ext xmlns:c16="http://schemas.microsoft.com/office/drawing/2014/chart" uri="{C3380CC4-5D6E-409C-BE32-E72D297353CC}">
                <c16:uniqueId val="{00000003-67F6-4A07-9B86-38623FA27328}"/>
              </c:ext>
            </c:extLst>
          </c:dPt>
          <c:dPt>
            <c:idx val="2"/>
            <c:bubble3D val="0"/>
            <c:spPr>
              <a:solidFill>
                <a:srgbClr val="B3B3B3"/>
              </a:solidFill>
              <a:ln w="19050">
                <a:solidFill>
                  <a:schemeClr val="lt1"/>
                </a:solidFill>
              </a:ln>
              <a:effectLst/>
            </c:spPr>
            <c:extLst>
              <c:ext xmlns:c16="http://schemas.microsoft.com/office/drawing/2014/chart" uri="{C3380CC4-5D6E-409C-BE32-E72D297353CC}">
                <c16:uniqueId val="{00000005-67F6-4A07-9B86-38623FA27328}"/>
              </c:ext>
            </c:extLst>
          </c:dPt>
          <c:dPt>
            <c:idx val="3"/>
            <c:bubble3D val="0"/>
            <c:spPr>
              <a:solidFill>
                <a:srgbClr val="F1C40F"/>
              </a:solidFill>
              <a:ln w="19050">
                <a:solidFill>
                  <a:schemeClr val="lt1"/>
                </a:solidFill>
              </a:ln>
              <a:effectLst/>
            </c:spPr>
            <c:extLst>
              <c:ext xmlns:c16="http://schemas.microsoft.com/office/drawing/2014/chart" uri="{C3380CC4-5D6E-409C-BE32-E72D297353CC}">
                <c16:uniqueId val="{00000007-67F6-4A07-9B86-38623FA27328}"/>
              </c:ext>
            </c:extLst>
          </c:dPt>
          <c:dPt>
            <c:idx val="4"/>
            <c:bubble3D val="0"/>
            <c:spPr>
              <a:solidFill>
                <a:srgbClr val="3498DB"/>
              </a:solidFill>
              <a:ln w="19050">
                <a:solidFill>
                  <a:schemeClr val="lt1"/>
                </a:solidFill>
              </a:ln>
              <a:effectLst/>
            </c:spPr>
            <c:extLst>
              <c:ext xmlns:c16="http://schemas.microsoft.com/office/drawing/2014/chart" uri="{C3380CC4-5D6E-409C-BE32-E72D297353CC}">
                <c16:uniqueId val="{00000009-67F6-4A07-9B86-38623FA27328}"/>
              </c:ext>
            </c:extLst>
          </c:dPt>
          <c:dPt>
            <c:idx val="5"/>
            <c:bubble3D val="0"/>
            <c:spPr>
              <a:solidFill>
                <a:srgbClr val="1DB954"/>
              </a:solidFill>
              <a:ln w="19050">
                <a:solidFill>
                  <a:schemeClr val="lt1"/>
                </a:solidFill>
              </a:ln>
              <a:effectLst/>
            </c:spPr>
            <c:extLst>
              <c:ext xmlns:c16="http://schemas.microsoft.com/office/drawing/2014/chart" uri="{C3380CC4-5D6E-409C-BE32-E72D297353CC}">
                <c16:uniqueId val="{0000000B-67F6-4A07-9B86-38623FA27328}"/>
              </c:ext>
            </c:extLst>
          </c:dPt>
          <c:dPt>
            <c:idx val="6"/>
            <c:bubble3D val="0"/>
            <c:spPr>
              <a:solidFill>
                <a:srgbClr val="9B59B6"/>
              </a:solidFill>
              <a:ln w="19050">
                <a:solidFill>
                  <a:schemeClr val="lt1"/>
                </a:solidFill>
              </a:ln>
              <a:effectLst/>
            </c:spPr>
            <c:extLst>
              <c:ext xmlns:c16="http://schemas.microsoft.com/office/drawing/2014/chart" uri="{C3380CC4-5D6E-409C-BE32-E72D297353CC}">
                <c16:uniqueId val="{0000000D-67F6-4A07-9B86-38623FA273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7F6-4A07-9B86-38623FA273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7F6-4A07-9B86-38623FA273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7F6-4A07-9B86-38623FA2732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BF0-4E05-8811-5C82A5AC88B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BF0-4E05-8811-5C82A5AC88B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BF0-4E05-8811-5C82A5AC88B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BF0-4E05-8811-5C82A5AC88B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BF0-4E05-8811-5C82A5AC88B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BF0-4E05-8811-5C82A5AC88B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BF0-4E05-8811-5C82A5AC88B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BF0-4E05-8811-5C82A5AC88B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BF0-4E05-8811-5C82A5AC88B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BF0-4E05-8811-5C82A5AC88B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BF0-4E05-8811-5C82A5AC88B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BF0-4E05-8811-5C82A5AC88B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BF0-4E05-8811-5C82A5AC88B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BF0-4E05-8811-5C82A5AC88B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BF0-4E05-8811-5C82A5AC88B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BF0-4E05-8811-5C82A5AC88B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BF0-4E05-8811-5C82A5AC88B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BF0-4E05-8811-5C82A5AC88B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BF0-4E05-8811-5C82A5AC88B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BF0-4E05-8811-5C82A5AC88B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BF0-4E05-8811-5C82A5AC88B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BF0-4E05-8811-5C82A5AC88B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BF0-4E05-8811-5C82A5AC88B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BF0-4E05-8811-5C82A5AC88B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BF0-4E05-8811-5C82A5AC88B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BF0-4E05-8811-5C82A5AC88B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BF0-4E05-8811-5C82A5AC88B3}"/>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BF0-4E05-8811-5C82A5AC88B3}"/>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BF0-4E05-8811-5C82A5AC88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'Genre Distribution'!$A$4:$A$14</c:f>
              <c:strCache>
                <c:ptCount val="10"/>
                <c:pt idx="0">
                  <c:v>Alternative Pop</c:v>
                </c:pt>
                <c:pt idx="1">
                  <c:v>Alternative Rock</c:v>
                </c:pt>
                <c:pt idx="2">
                  <c:v>Billboard Hot 100</c:v>
                </c:pt>
                <c:pt idx="3">
                  <c:v>Hip Hop</c:v>
                </c:pt>
                <c:pt idx="4">
                  <c:v>Indie Pop</c:v>
                </c:pt>
                <c:pt idx="5">
                  <c:v>K-Pop</c:v>
                </c:pt>
                <c:pt idx="6">
                  <c:v>Pop</c:v>
                </c:pt>
                <c:pt idx="7">
                  <c:v>Reggaeton</c:v>
                </c:pt>
                <c:pt idx="8">
                  <c:v>Regional Mexicano</c:v>
                </c:pt>
                <c:pt idx="9">
                  <c:v>Rock</c:v>
                </c:pt>
              </c:strCache>
            </c:strRef>
          </c:cat>
          <c:val>
            <c:numRef>
              <c:f>'Genre Distribution'!$B$4:$B$14</c:f>
              <c:numCache>
                <c:formatCode>General</c:formatCode>
                <c:ptCount val="10"/>
                <c:pt idx="0">
                  <c:v>9993132</c:v>
                </c:pt>
                <c:pt idx="1">
                  <c:v>11782572</c:v>
                </c:pt>
                <c:pt idx="2">
                  <c:v>12961759</c:v>
                </c:pt>
                <c:pt idx="3">
                  <c:v>11718989</c:v>
                </c:pt>
                <c:pt idx="4">
                  <c:v>12901895</c:v>
                </c:pt>
                <c:pt idx="5">
                  <c:v>72752485</c:v>
                </c:pt>
                <c:pt idx="6">
                  <c:v>96866003</c:v>
                </c:pt>
                <c:pt idx="7">
                  <c:v>17181163</c:v>
                </c:pt>
                <c:pt idx="8">
                  <c:v>12704416</c:v>
                </c:pt>
                <c:pt idx="9">
                  <c:v>24820619</c:v>
                </c:pt>
              </c:numCache>
            </c:numRef>
          </c:val>
          <c:extLst>
            <c:ext xmlns:c16="http://schemas.microsoft.com/office/drawing/2014/chart" uri="{C3380CC4-5D6E-409C-BE32-E72D297353CC}">
              <c16:uniqueId val="{00000014-67F6-4A07-9B86-38623FA27328}"/>
            </c:ext>
          </c:extLst>
        </c:ser>
        <c:dLbls>
          <c:showLegendKey val="0"/>
          <c:showVal val="1"/>
          <c:showCatName val="0"/>
          <c:showSerName val="0"/>
          <c:showPercent val="0"/>
          <c:showBubbleSize val="0"/>
          <c:showLeaderLines val="1"/>
        </c:dLbls>
        <c:firstSliceAng val="0"/>
        <c:holeSize val="75"/>
      </c:doughnutChart>
      <c:spPr>
        <a:solidFill>
          <a:srgbClr val="121212"/>
        </a:solidFill>
        <a:ln>
          <a:solidFill>
            <a:srgbClr val="191414"/>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[Spotify_Dashboard.xlsx]Country Trends!PivotTable6</c:name>
    <c:fmtId val="11"/>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Country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'Country Trends'!$B$3</c:f>
              <c:strCache>
                <c:ptCount val="1"/>
                <c:pt idx="0">
                  <c:v>Total</c:v>
                </c:pt>
              </c:strCache>
            </c:strRef>
          </c:tx>
          <c:spPr>
            <a:solidFill>
              <a:srgbClr val="1DB954"/>
            </a:solidFill>
            <a:ln>
              <a:noFill/>
            </a:ln>
            <a:effectLst/>
            <a:sp3d/>
          </c:spPr>
          <c:invertIfNegative val="0"/>
          <c:cat>
            <c:strRef>
              <c:f>'Country Trends'!$A$4:$A$14</c:f>
              <c:strCache>
                <c:ptCount val="10"/>
                <c:pt idx="0">
                  <c:v>AU</c:v>
                </c:pt>
                <c:pt idx="1">
                  <c:v>CA</c:v>
                </c:pt>
                <c:pt idx="2">
                  <c:v>CO</c:v>
                </c:pt>
                <c:pt idx="3">
                  <c:v>England</c:v>
                </c:pt>
                <c:pt idx="4">
                  <c:v>Florida</c:v>
                </c:pt>
                <c:pt idx="5">
                  <c:v>GB</c:v>
                </c:pt>
                <c:pt idx="6">
                  <c:v>KR</c:v>
                </c:pt>
                <c:pt idx="7">
                  <c:v>MX</c:v>
                </c:pt>
                <c:pt idx="8">
                  <c:v>PR</c:v>
                </c:pt>
                <c:pt idx="9">
                  <c:v>US</c:v>
                </c:pt>
              </c:strCache>
            </c:strRef>
          </c:cat>
          <c:val>
            <c:numRef>
              <c:f>'Country Trends'!$B$4:$B$14</c:f>
              <c:numCache>
                <c:formatCode>General</c:formatCode>
                <c:ptCount val="10"/>
                <c:pt idx="0">
                  <c:v>9164547</c:v>
                </c:pt>
                <c:pt idx="1">
                  <c:v>14740406</c:v>
                </c:pt>
                <c:pt idx="2">
                  <c:v>5960365</c:v>
                </c:pt>
                <c:pt idx="3">
                  <c:v>18154513</c:v>
                </c:pt>
                <c:pt idx="4">
                  <c:v>8265098</c:v>
                </c:pt>
                <c:pt idx="5">
                  <c:v>43427153</c:v>
                </c:pt>
                <c:pt idx="6">
                  <c:v>76140445</c:v>
                </c:pt>
                <c:pt idx="7">
                  <c:v>12490791</c:v>
                </c:pt>
                <c:pt idx="8">
                  <c:v>22457857</c:v>
                </c:pt>
                <c:pt idx="9">
                  <c:v>144060230</c:v>
                </c:pt>
              </c:numCache>
            </c:numRef>
          </c:val>
          <c:extLst>
            <c:ext xmlns:c16="http://schemas.microsoft.com/office/drawing/2014/chart" uri="{C3380CC4-5D6E-409C-BE32-E72D297353CC}">
              <c16:uniqueId val="{00000000-E588-47F8-9F57-E82D5A1C47FA}"/>
            </c:ext>
          </c:extLst>
        </c:ser>
        <c:dLbls>
          <c:showLegendKey val="0"/>
          <c:showVal val="0"/>
          <c:showCatName val="0"/>
          <c:showSerName val="0"/>
          <c:showPercent val="0"/>
          <c:showBubbleSize val="0"/>
        </c:dLbls>
        <c:gapWidth val="150"/>
        <c:shape val="box"/>
        <c:axId val="1502813328"/>
        <c:axId val="1504143008"/>
        <c:axId val="0"/>
      </c:bar3DChart>
      <c:catAx>
        <c:axId val="150281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504143008"/>
        <c:crosses val="autoZero"/>
        <c:auto val="1"/>
        <c:lblAlgn val="ctr"/>
        <c:lblOffset val="100"/>
        <c:noMultiLvlLbl val="0"/>
      </c:catAx>
      <c:valAx>
        <c:axId val="1504143008"/>
        <c:scaling>
          <c:orientation val="minMax"/>
        </c:scaling>
        <c:delete val="0"/>
        <c:axPos val="b"/>
        <c:majorGridlines>
          <c:spPr>
            <a:ln w="9525" cap="flat" cmpd="sng" algn="ctr">
              <a:solidFill>
                <a:srgbClr val="2E2E2E"/>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50281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[Spotify_Dashboard.xlsx]Top Tracks by Streams!PivotTable4</c:name>
    <c:fmtId val="15"/>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Top Tracks by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B95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Tracks by Streams'!$B$3</c:f>
              <c:strCache>
                <c:ptCount val="1"/>
                <c:pt idx="0">
                  <c:v>Total</c:v>
                </c:pt>
              </c:strCache>
            </c:strRef>
          </c:tx>
          <c:spPr>
            <a:solidFill>
              <a:srgbClr val="1DB95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Tracks by Streams'!$A$4:$A$14</c:f>
              <c:strCache>
                <c:ptCount val="10"/>
                <c:pt idx="0">
                  <c:v>2</c:v>
                </c:pt>
                <c:pt idx="1">
                  <c:v>Aliens</c:v>
                </c:pt>
                <c:pt idx="2">
                  <c:v>Babydoll</c:v>
                </c:pt>
                <c:pt idx="3">
                  <c:v>Body to Body</c:v>
                </c:pt>
                <c:pt idx="4">
                  <c:v>FYA</c:v>
                </c:pt>
                <c:pt idx="5">
                  <c:v>Hooligan</c:v>
                </c:pt>
                <c:pt idx="6">
                  <c:v>Like Animals</c:v>
                </c:pt>
                <c:pt idx="7">
                  <c:v>NORMAL</c:v>
                </c:pt>
                <c:pt idx="8">
                  <c:v>Stateside + Zara Larsson (w/ Zara Larsson)</c:v>
                </c:pt>
                <c:pt idx="9">
                  <c:v>SWIM</c:v>
                </c:pt>
              </c:strCache>
            </c:strRef>
          </c:cat>
          <c:val>
            <c:numRef>
              <c:f>'Top Tracks by Streams'!$B$4:$B$14</c:f>
              <c:numCache>
                <c:formatCode>General</c:formatCode>
                <c:ptCount val="10"/>
                <c:pt idx="0">
                  <c:v>4573989</c:v>
                </c:pt>
                <c:pt idx="1">
                  <c:v>4718569</c:v>
                </c:pt>
                <c:pt idx="2">
                  <c:v>5733862</c:v>
                </c:pt>
                <c:pt idx="3">
                  <c:v>6815694</c:v>
                </c:pt>
                <c:pt idx="4">
                  <c:v>5196767</c:v>
                </c:pt>
                <c:pt idx="5">
                  <c:v>5338608</c:v>
                </c:pt>
                <c:pt idx="6">
                  <c:v>4567309</c:v>
                </c:pt>
                <c:pt idx="7">
                  <c:v>4749288</c:v>
                </c:pt>
                <c:pt idx="8">
                  <c:v>4738329</c:v>
                </c:pt>
                <c:pt idx="9">
                  <c:v>11273830</c:v>
                </c:pt>
              </c:numCache>
            </c:numRef>
          </c:val>
          <c:extLst>
            <c:ext xmlns:c16="http://schemas.microsoft.com/office/drawing/2014/chart" uri="{C3380CC4-5D6E-409C-BE32-E72D297353CC}">
              <c16:uniqueId val="{00000000-C234-49CB-9184-47E08BCB1CFC}"/>
            </c:ext>
          </c:extLst>
        </c:ser>
        <c:dLbls>
          <c:showLegendKey val="0"/>
          <c:showVal val="1"/>
          <c:showCatName val="0"/>
          <c:showSerName val="0"/>
          <c:showPercent val="0"/>
          <c:showBubbleSize val="0"/>
        </c:dLbls>
        <c:gapWidth val="150"/>
        <c:shape val="box"/>
        <c:axId val="1703688528"/>
        <c:axId val="1703685648"/>
        <c:axId val="0"/>
      </c:bar3DChart>
      <c:catAx>
        <c:axId val="170368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5648"/>
        <c:crosses val="autoZero"/>
        <c:auto val="1"/>
        <c:lblAlgn val="ctr"/>
        <c:lblOffset val="100"/>
        <c:noMultiLvlLbl val="0"/>
      </c:catAx>
      <c:valAx>
        <c:axId val="1703685648"/>
        <c:scaling>
          <c:orientation val="minMax"/>
        </c:scaling>
        <c:delete val="0"/>
        <c:axPos val="b"/>
        <c:majorGridlines>
          <c:spPr>
            <a:ln w="9525" cap="flat" cmpd="sng" algn="ctr">
              <a:solidFill>
                <a:srgbClr val="2E2E2E"/>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crossAx val="17036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3B3B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91414"/>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15240</xdr:rowOff>
    </xdr:from>
    <xdr:to>
      <xdr:col>11</xdr:col>
      <xdr:colOff>312420</xdr:colOff>
      <xdr:row>17</xdr:row>
      <xdr:rowOff>15240</xdr:rowOff>
    </xdr:to>
    <xdr:graphicFrame macro="">
      <xdr:nvGraphicFramePr>
        <xdr:cNvPr id="2" name="Chart 1">
          <a:extLst>
            <a:ext uri="{FF2B5EF4-FFF2-40B4-BE49-F238E27FC236}">
              <a16:creationId xmlns:a16="http://schemas.microsoft.com/office/drawing/2014/main" id="{9607D65B-BC39-A0D2-B41D-BE7016A6C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22860</xdr:rowOff>
    </xdr:from>
    <xdr:to>
      <xdr:col>10</xdr:col>
      <xdr:colOff>297180</xdr:colOff>
      <xdr:row>17</xdr:row>
      <xdr:rowOff>22860</xdr:rowOff>
    </xdr:to>
    <xdr:graphicFrame macro="">
      <xdr:nvGraphicFramePr>
        <xdr:cNvPr id="2" name="Chart 1">
          <a:extLst>
            <a:ext uri="{FF2B5EF4-FFF2-40B4-BE49-F238E27FC236}">
              <a16:creationId xmlns:a16="http://schemas.microsoft.com/office/drawing/2014/main" id="{1D55C0F9-072C-B2F5-E1BB-45F7AEBE1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586740</xdr:colOff>
      <xdr:row>1</xdr:row>
      <xdr:rowOff>160020</xdr:rowOff>
    </xdr:from>
    <xdr:to>
      <xdr:col>11</xdr:col>
      <xdr:colOff>0</xdr:colOff>
      <xdr:row>18</xdr:row>
      <xdr:rowOff>167640</xdr:rowOff>
    </xdr:to>
    <xdr:graphicFrame macro="">
      <xdr:nvGraphicFramePr>
        <xdr:cNvPr id="2" name="Chart 1">
          <a:extLst>
            <a:ext uri="{FF2B5EF4-FFF2-40B4-BE49-F238E27FC236}">
              <a16:creationId xmlns:a16="http://schemas.microsoft.com/office/drawing/2014/main" id="{7A0127A4-CC03-A884-71DF-75B9CD4D0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525780</xdr:colOff>
      <xdr:row>6</xdr:row>
      <xdr:rowOff>83820</xdr:rowOff>
    </xdr:from>
    <xdr:to>
      <xdr:col>12</xdr:col>
      <xdr:colOff>220980</xdr:colOff>
      <xdr:row>21</xdr:row>
      <xdr:rowOff>83820</xdr:rowOff>
    </xdr:to>
    <xdr:graphicFrame macro="">
      <xdr:nvGraphicFramePr>
        <xdr:cNvPr id="2" name="Chart 1">
          <a:extLst>
            <a:ext uri="{FF2B5EF4-FFF2-40B4-BE49-F238E27FC236}">
              <a16:creationId xmlns:a16="http://schemas.microsoft.com/office/drawing/2014/main" id="{69E5F2B7-5222-BC51-F0D5-CD91DB9A3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411480</xdr:colOff>
      <xdr:row>4</xdr:row>
      <xdr:rowOff>7620</xdr:rowOff>
    </xdr:from>
    <xdr:to>
      <xdr:col>12</xdr:col>
      <xdr:colOff>106680</xdr:colOff>
      <xdr:row>19</xdr:row>
      <xdr:rowOff>7620</xdr:rowOff>
    </xdr:to>
    <xdr:graphicFrame macro="">
      <xdr:nvGraphicFramePr>
        <xdr:cNvPr id="2" name="Chart 1">
          <a:extLst>
            <a:ext uri="{FF2B5EF4-FFF2-40B4-BE49-F238E27FC236}">
              <a16:creationId xmlns:a16="http://schemas.microsoft.com/office/drawing/2014/main" id="{A322EAF4-DF74-FFDB-B1D8-537224468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220980</xdr:colOff>
      <xdr:row>2</xdr:row>
      <xdr:rowOff>160020</xdr:rowOff>
    </xdr:from>
    <xdr:to>
      <xdr:col>10</xdr:col>
      <xdr:colOff>472440</xdr:colOff>
      <xdr:row>17</xdr:row>
      <xdr:rowOff>160020</xdr:rowOff>
    </xdr:to>
    <xdr:graphicFrame macro="">
      <xdr:nvGraphicFramePr>
        <xdr:cNvPr id="2" name="Chart 1">
          <a:extLst>
            <a:ext uri="{FF2B5EF4-FFF2-40B4-BE49-F238E27FC236}">
              <a16:creationId xmlns:a16="http://schemas.microsoft.com/office/drawing/2014/main" id="{220230CD-D0CF-4C5E-F67C-CB58BCCF8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381000</xdr:colOff>
      <xdr:row>3</xdr:row>
      <xdr:rowOff>0</xdr:rowOff>
    </xdr:from>
    <xdr:to>
      <xdr:col>6</xdr:col>
      <xdr:colOff>381000</xdr:colOff>
      <xdr:row>16</xdr:row>
      <xdr:rowOff>89535</xdr:rowOff>
    </xdr:to>
    <mc:AlternateContent xmlns:mc="http://schemas.openxmlformats.org/markup-compatibility/2006" xmlns:a14="http://schemas.microsoft.com/office/drawing/2010/main">
      <mc:Choice Requires="a14">
        <xdr:graphicFrame macro="">
          <xdr:nvGraphicFramePr>
            <xdr:cNvPr id="2" name="artist_name">
              <a:extLst>
                <a:ext uri="{FF2B5EF4-FFF2-40B4-BE49-F238E27FC236}">
                  <a16:creationId xmlns:a16="http://schemas.microsoft.com/office/drawing/2014/main" id="{2C4687BC-BF31-DEE1-0BB2-98AC11EFB676}"/>
                </a:ext>
              </a:extLst>
            </xdr:cNvPr>
            <xdr:cNvGraphicFramePr/>
          </xdr:nvGraphicFramePr>
          <xdr:xfrm>
            <a:off x="0" y="0"/>
            <a:ext cx="0" cy="0"/>
          </xdr:xfrm>
          <a:graphic>
            <a:graphicData uri="http://schemas.microsoft.com/office/drawing/2010/slicer">
              <sle:slicer xmlns:sle="http://schemas.microsoft.com/office/drawing/2010/slicer" name="artist_name"/>
            </a:graphicData>
          </a:graphic>
        </xdr:graphicFrame>
      </mc:Choice>
      <mc:Fallback xmlns="">
        <xdr:sp macro="" textlink="">
          <xdr:nvSpPr>
            <xdr:cNvPr id="0" name=""/>
            <xdr:cNvSpPr>
              <a:spLocks noTextEdit="1"/>
            </xdr:cNvSpPr>
          </xdr:nvSpPr>
          <xdr:spPr>
            <a:xfrm>
              <a:off x="2209800" y="548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83820</xdr:colOff>
      <xdr:row>3</xdr:row>
      <xdr:rowOff>38100</xdr:rowOff>
    </xdr:from>
    <xdr:to>
      <xdr:col>10</xdr:col>
      <xdr:colOff>83820</xdr:colOff>
      <xdr:row>16</xdr:row>
      <xdr:rowOff>127635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BF6EF510-497D-311B-952F-06A5AA8BCF0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351020" y="586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312420</xdr:colOff>
      <xdr:row>3</xdr:row>
      <xdr:rowOff>60960</xdr:rowOff>
    </xdr:from>
    <xdr:to>
      <xdr:col>13</xdr:col>
      <xdr:colOff>312420</xdr:colOff>
      <xdr:row>16</xdr:row>
      <xdr:rowOff>150495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B3C89992-6BD9-3070-1D9B-DC53AF76E47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408420" y="609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220980</xdr:colOff>
      <xdr:row>3</xdr:row>
      <xdr:rowOff>99060</xdr:rowOff>
    </xdr:from>
    <xdr:to>
      <xdr:col>17</xdr:col>
      <xdr:colOff>220980</xdr:colOff>
      <xdr:row>17</xdr:row>
      <xdr:rowOff>5715</xdr:rowOff>
    </xdr:to>
    <mc:AlternateContent xmlns:mc="http://schemas.openxmlformats.org/markup-compatibility/2006" xmlns:a14="http://schemas.microsoft.com/office/drawing/2010/main">
      <mc:Choice Requires="a14">
        <xdr:graphicFrame macro="">
          <xdr:nvGraphicFramePr>
            <xdr:cNvPr id="5" name="trend">
              <a:extLst>
                <a:ext uri="{FF2B5EF4-FFF2-40B4-BE49-F238E27FC236}">
                  <a16:creationId xmlns:a16="http://schemas.microsoft.com/office/drawing/2014/main" id="{AF2BCC70-63B6-9CFE-37E2-DDC0ED89F414}"/>
                </a:ext>
              </a:extLst>
            </xdr:cNvPr>
            <xdr:cNvGraphicFramePr/>
          </xdr:nvGraphicFramePr>
          <xdr:xfrm>
            <a:off x="0" y="0"/>
            <a:ext cx="0" cy="0"/>
          </xdr:xfrm>
          <a:graphic>
            <a:graphicData uri="http://schemas.microsoft.com/office/drawing/2010/slicer">
              <sle:slicer xmlns:sle="http://schemas.microsoft.com/office/drawing/2010/slicer" name="trend"/>
            </a:graphicData>
          </a:graphic>
        </xdr:graphicFrame>
      </mc:Choice>
      <mc:Fallback xmlns="">
        <xdr:sp macro="" textlink="">
          <xdr:nvSpPr>
            <xdr:cNvPr id="0" name=""/>
            <xdr:cNvSpPr>
              <a:spLocks noTextEdit="1"/>
            </xdr:cNvSpPr>
          </xdr:nvSpPr>
          <xdr:spPr>
            <a:xfrm>
              <a:off x="8755380" y="647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3</xdr:col>
      <xdr:colOff>179070</xdr:colOff>
      <xdr:row>11</xdr:row>
      <xdr:rowOff>0</xdr:rowOff>
    </xdr:to>
    <xdr:pic>
      <xdr:nvPicPr>
        <xdr:cNvPr id="3" name="Picture 2">
          <a:extLst>
            <a:ext uri="{FF2B5EF4-FFF2-40B4-BE49-F238E27FC236}">
              <a16:creationId xmlns:a16="http://schemas.microsoft.com/office/drawing/2014/main" id="{5AB82EF7-4C8A-BAEF-3412-7E635414B6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0"/>
          <a:ext cx="1969770" cy="2011680"/>
        </a:xfrm>
        <a:prstGeom prst="rect">
          <a:avLst/>
        </a:prstGeom>
      </xdr:spPr>
    </xdr:pic>
    <xdr:clientData/>
  </xdr:twoCellAnchor>
  <xdr:twoCellAnchor>
    <xdr:from>
      <xdr:col>4</xdr:col>
      <xdr:colOff>0</xdr:colOff>
      <xdr:row>6</xdr:row>
      <xdr:rowOff>91440</xdr:rowOff>
    </xdr:from>
    <xdr:to>
      <xdr:col>11</xdr:col>
      <xdr:colOff>358140</xdr:colOff>
      <xdr:row>25</xdr:row>
      <xdr:rowOff>0</xdr:rowOff>
    </xdr:to>
    <xdr:graphicFrame macro="">
      <xdr:nvGraphicFramePr>
        <xdr:cNvPr id="4" name="Chart 3">
          <a:extLst>
            <a:ext uri="{FF2B5EF4-FFF2-40B4-BE49-F238E27FC236}">
              <a16:creationId xmlns:a16="http://schemas.microsoft.com/office/drawing/2014/main" id="{9A7FB971-4DDC-4D55-9F0E-0F4E1BACD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350520</xdr:colOff>
      <xdr:row>2</xdr:row>
      <xdr:rowOff>0</xdr:rowOff>
    </xdr:from>
    <xdr:ext cx="5120640" cy="525780"/>
    <xdr:sp macro="" textlink="">
      <xdr:nvSpPr>
        <xdr:cNvPr id="21" name="TextBox 20">
          <a:extLst>
            <a:ext uri="{FF2B5EF4-FFF2-40B4-BE49-F238E27FC236}">
              <a16:creationId xmlns:a16="http://schemas.microsoft.com/office/drawing/2014/main" id="{2B3F11BA-4C91-4EB1-62BF-7C1F3FA20F6A}"/>
            </a:ext>
          </a:extLst>
        </xdr:cNvPr>
        <xdr:cNvSpPr txBox="1"/>
      </xdr:nvSpPr>
      <xdr:spPr>
        <a:xfrm>
          <a:off x="4747260" y="365760"/>
          <a:ext cx="5120640" cy="525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solidFill>
                <a:srgbClr val="1DB954"/>
              </a:solidFill>
            </a:rPr>
            <a:t>Spotify Global Trends Dashboard</a:t>
          </a:r>
        </a:p>
      </xdr:txBody>
    </xdr:sp>
    <xdr:clientData/>
  </xdr:oneCellAnchor>
  <xdr:twoCellAnchor editAs="oneCell">
    <xdr:from>
      <xdr:col>0</xdr:col>
      <xdr:colOff>0</xdr:colOff>
      <xdr:row>11</xdr:row>
      <xdr:rowOff>0</xdr:rowOff>
    </xdr:from>
    <xdr:to>
      <xdr:col>3</xdr:col>
      <xdr:colOff>304800</xdr:colOff>
      <xdr:row>24</xdr:row>
      <xdr:rowOff>0</xdr:rowOff>
    </xdr:to>
    <mc:AlternateContent xmlns:mc="http://schemas.openxmlformats.org/markup-compatibility/2006" xmlns:a14="http://schemas.microsoft.com/office/drawing/2010/main">
      <mc:Choice Requires="a14">
        <xdr:graphicFrame macro="">
          <xdr:nvGraphicFramePr>
            <xdr:cNvPr id="22" name="country 1">
              <a:extLst>
                <a:ext uri="{FF2B5EF4-FFF2-40B4-BE49-F238E27FC236}">
                  <a16:creationId xmlns:a16="http://schemas.microsoft.com/office/drawing/2014/main" id="{D6B05A4B-A0CE-449C-9320-4C17831DB5A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2011680"/>
              <a:ext cx="213360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0</xdr:rowOff>
    </xdr:from>
    <xdr:to>
      <xdr:col>3</xdr:col>
      <xdr:colOff>304800</xdr:colOff>
      <xdr:row>30</xdr:row>
      <xdr:rowOff>0</xdr:rowOff>
    </xdr:to>
    <mc:AlternateContent xmlns:mc="http://schemas.openxmlformats.org/markup-compatibility/2006" xmlns:a14="http://schemas.microsoft.com/office/drawing/2010/main">
      <mc:Choice Requires="a14">
        <xdr:graphicFrame macro="">
          <xdr:nvGraphicFramePr>
            <xdr:cNvPr id="23" name="trend 1">
              <a:extLst>
                <a:ext uri="{FF2B5EF4-FFF2-40B4-BE49-F238E27FC236}">
                  <a16:creationId xmlns:a16="http://schemas.microsoft.com/office/drawing/2014/main" id="{4E44DACF-FF3B-4C31-AB7E-D4BF61FDC74B}"/>
                </a:ext>
              </a:extLst>
            </xdr:cNvPr>
            <xdr:cNvGraphicFramePr/>
          </xdr:nvGraphicFramePr>
          <xdr:xfrm>
            <a:off x="0" y="0"/>
            <a:ext cx="0" cy="0"/>
          </xdr:xfrm>
          <a:graphic>
            <a:graphicData uri="http://schemas.microsoft.com/office/drawing/2010/slicer">
              <sle:slicer xmlns:sle="http://schemas.microsoft.com/office/drawing/2010/slicer" name="trend 1"/>
            </a:graphicData>
          </a:graphic>
        </xdr:graphicFrame>
      </mc:Choice>
      <mc:Fallback xmlns="">
        <xdr:sp macro="" textlink="">
          <xdr:nvSpPr>
            <xdr:cNvPr id="0" name=""/>
            <xdr:cNvSpPr>
              <a:spLocks noTextEdit="1"/>
            </xdr:cNvSpPr>
          </xdr:nvSpPr>
          <xdr:spPr>
            <a:xfrm>
              <a:off x="0" y="4572000"/>
              <a:ext cx="21336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121920</xdr:colOff>
      <xdr:row>45</xdr:row>
      <xdr:rowOff>76200</xdr:rowOff>
    </xdr:from>
    <xdr:to>
      <xdr:col>20</xdr:col>
      <xdr:colOff>0</xdr:colOff>
      <xdr:row>63</xdr:row>
      <xdr:rowOff>167640</xdr:rowOff>
    </xdr:to>
    <xdr:graphicFrame macro="">
      <xdr:nvGraphicFramePr>
        <xdr:cNvPr id="32" name="Chart 31">
          <a:extLst>
            <a:ext uri="{FF2B5EF4-FFF2-40B4-BE49-F238E27FC236}">
              <a16:creationId xmlns:a16="http://schemas.microsoft.com/office/drawing/2014/main" id="{8DFFD380-B15A-4E9A-8C70-7F5C4B1C1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121920</xdr:colOff>
      <xdr:row>26</xdr:row>
      <xdr:rowOff>0</xdr:rowOff>
    </xdr:from>
    <xdr:to>
      <xdr:col>20</xdr:col>
      <xdr:colOff>0</xdr:colOff>
      <xdr:row>44</xdr:row>
      <xdr:rowOff>91440</xdr:rowOff>
    </xdr:to>
    <xdr:graphicFrame macro="">
      <xdr:nvGraphicFramePr>
        <xdr:cNvPr id="33" name="Chart 32">
          <a:extLst>
            <a:ext uri="{FF2B5EF4-FFF2-40B4-BE49-F238E27FC236}">
              <a16:creationId xmlns:a16="http://schemas.microsoft.com/office/drawing/2014/main" id="{F94BF516-CD22-4333-853B-3DBA7F01E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26</xdr:row>
      <xdr:rowOff>0</xdr:rowOff>
    </xdr:from>
    <xdr:to>
      <xdr:col>11</xdr:col>
      <xdr:colOff>358140</xdr:colOff>
      <xdr:row>44</xdr:row>
      <xdr:rowOff>91440</xdr:rowOff>
    </xdr:to>
    <xdr:graphicFrame macro="">
      <xdr:nvGraphicFramePr>
        <xdr:cNvPr id="34" name="Chart 33">
          <a:extLst>
            <a:ext uri="{FF2B5EF4-FFF2-40B4-BE49-F238E27FC236}">
              <a16:creationId xmlns:a16="http://schemas.microsoft.com/office/drawing/2014/main" id="{82119702-E5A8-42E7-9EF6-900431B6F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45</xdr:row>
      <xdr:rowOff>83820</xdr:rowOff>
    </xdr:from>
    <xdr:to>
      <xdr:col>11</xdr:col>
      <xdr:colOff>358140</xdr:colOff>
      <xdr:row>63</xdr:row>
      <xdr:rowOff>175260</xdr:rowOff>
    </xdr:to>
    <xdr:graphicFrame macro="">
      <xdr:nvGraphicFramePr>
        <xdr:cNvPr id="36" name="Chart 35">
          <a:extLst>
            <a:ext uri="{FF2B5EF4-FFF2-40B4-BE49-F238E27FC236}">
              <a16:creationId xmlns:a16="http://schemas.microsoft.com/office/drawing/2014/main" id="{02967F14-847E-49E9-842A-1D6BDC6B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121920</xdr:colOff>
      <xdr:row>6</xdr:row>
      <xdr:rowOff>91440</xdr:rowOff>
    </xdr:from>
    <xdr:to>
      <xdr:col>20</xdr:col>
      <xdr:colOff>0</xdr:colOff>
      <xdr:row>25</xdr:row>
      <xdr:rowOff>0</xdr:rowOff>
    </xdr:to>
    <xdr:graphicFrame macro="">
      <xdr:nvGraphicFramePr>
        <xdr:cNvPr id="24" name="Chart 23">
          <a:extLst>
            <a:ext uri="{FF2B5EF4-FFF2-40B4-BE49-F238E27FC236}">
              <a16:creationId xmlns:a16="http://schemas.microsoft.com/office/drawing/2014/main" id="{F2C0C7C2-8968-48B3-9C7D-355672A57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up lature" refreshedDate="46134.597969097224" createdVersion="8" refreshedVersion="8" minRefreshableVersion="3" recordCount="178" xr:uid="{646D7EAF-6EC4-404D-827C-CCE204CBBF51}">
  <cacheSource type="worksheet">
    <worksheetSource name="spotify_global_trends__1"/>
  </cacheSource>
  <cacheFields count="13">
    <cacheField name="track_name" numFmtId="0">
      <sharedItems count="178">
        <s v="SWIM"/>
        <s v="Body to Body"/>
        <s v="Babydoll"/>
        <s v="Hooligan"/>
        <s v="FYA"/>
        <s v="NORMAL"/>
        <s v="Stateside + Zara Larsson (w/ Zara Larsson)"/>
        <s v="Aliens"/>
        <s v="2"/>
        <s v="Like Animals"/>
        <s v="Merry Go Round"/>
        <s v="they don’t know ’bout us"/>
        <s v="Man I Need"/>
        <s v="DtMF"/>
        <s v="End of Beginning"/>
        <s v="Risk It All"/>
        <s v="One More Night"/>
        <s v="So Easy (To Fall In Love)"/>
        <s v="Please"/>
        <s v="Raindance (w/ Tems)"/>
        <s v="No. 29"/>
        <s v="Into the Sun"/>
        <s v="The Fate of Ophelia"/>
        <s v="back to friends"/>
        <s v="BAILE INoLVIDABLE"/>
        <s v="Lush Life"/>
        <s v="WHERE IS MY HUSBAND!"/>
        <s v="NUEVAYoL"/>
        <s v="American Girls"/>
        <s v="iloveitiloveitiloveit"/>
        <s v="I Just Might"/>
        <s v="Iris"/>
        <s v="Die With A Smile (w/ Bruno Mars)"/>
        <s v="Manchild"/>
        <s v="Tití Me Preguntó"/>
        <s v="Love Me Not"/>
        <s v="EoO"/>
        <s v="White Keys"/>
        <s v="BIRDS OF A FEATHER"/>
        <s v="Die On This Hill"/>
        <s v="Every Breath You Take"/>
        <s v="Dracula - JENNIE Remix (w/ JENNIE)"/>
        <s v="12 to 12"/>
        <s v="Mr. Brightside"/>
        <s v="Espresso"/>
        <s v="Choosin' Texas"/>
        <s v="I Thought I Saw Your Face Today"/>
        <s v="(When You Gonna) Give It Up to Me (w/ Keyshia Cole)"/>
        <s v="Homewrecker"/>
        <s v="Sailor Song"/>
        <s v="Beautiful Things"/>
        <s v="Sweater Weather"/>
        <s v="One Dance (w/ Wizkid, Kyla)"/>
        <s v="Rein Me In (w/ Olivia Dean)"/>
        <s v="Creep"/>
        <s v="Opalite"/>
        <s v="FEVER DREAM"/>
        <s v="dopamina (w/ Tito Double P)"/>
        <s v="E85"/>
        <s v="That's What I Like"/>
        <s v="Dracula"/>
        <s v="Dreams - 2004 Remaster"/>
        <s v="Gabriela"/>
        <s v="Yellow"/>
        <s v="Locked out of Heaven"/>
        <s v="I Wanna Be Yours"/>
        <s v="Who"/>
        <s v="VOY A LLeVARTE PA PR"/>
        <s v="daño (w/ Tito Double P)"/>
        <s v="Starboy (w/ Daft Punk)"/>
        <s v="Lose Control"/>
        <s v="Riptide"/>
        <s v="WILDFLOWER"/>
        <s v="LA CANCIÓN (w/ Bad Bunny)"/>
        <s v="Qué Pasaría... (w/ Bad Bunny)"/>
        <s v="Feel Good Inc"/>
        <s v="All The Stars (w/ SZA)"/>
        <s v="See You Again (w/ Kali Uchis)"/>
        <s v="In the End"/>
        <s v="One Of The Girls (w/ JENNIE, Lily-Rose Depp)"/>
        <s v="Danza Kuduro (w/ Lucenzo)"/>
        <s v="Aperture"/>
        <s v="La Plena - W Sound 05 (w/ Beéle, Ovy On The Drums)"/>
        <s v="LA VILLA (w/ Kapo, Gangsta)"/>
        <s v="Good Luck, Babe!"/>
        <s v="Viva La Vida"/>
        <s v="As It Was"/>
        <s v="We Are The People"/>
        <s v="The Less I Know The Better"/>
        <s v="505"/>
        <s v="Seven (w/ Latto)"/>
        <s v="Marlboro Rojo"/>
        <s v="Todo Lo Fue"/>
        <s v="The Visitor"/>
        <s v="Billie Jean"/>
        <s v="Si Antes Te Hubiera Conocido"/>
        <s v="Pvta Luna"/>
        <s v="Ya Borracho"/>
        <s v="undressed"/>
        <s v="Shape of You"/>
        <s v="That’s So True"/>
        <s v="Midnight Sun"/>
        <s v="When I Was Your Man"/>
        <s v="Have You Ever Seen The Rain"/>
        <s v="Sparks"/>
        <s v="COQUETA (w/ Grupo Frontera)"/>
        <s v="Somewhere Only We Know"/>
        <s v="Taste Back"/>
        <s v="Zoo (w/ Shakira)"/>
        <s v="Smells Like Teen Spirit - Remastered"/>
        <s v="Blinding Lights"/>
        <s v="7-3 (w/ Tito Double P)"/>
        <s v="Porch Light"/>
        <s v="Just the Way You Are"/>
        <s v="Coming Up Roses"/>
        <s v="Nice To Each Other"/>
        <s v="Counting Stars"/>
        <s v="Fame is a Gun"/>
        <s v="Only Girl (In The World)"/>
        <s v="Bring Me To Life"/>
        <s v="Don't Stop The Music"/>
        <s v="Timeless (w/ Playboi Carti)"/>
        <s v="Promiscuous (w/ Timbaland)"/>
        <s v="Give Me Everything (w/ Ne-Yo, AFROJACK, Nayer)"/>
        <s v="chiclona (w/ Tito Double P, LENCHO)"/>
        <s v="no tiene sentido"/>
        <s v="Kiss It Better"/>
        <s v="Body"/>
        <s v="The Night We Met"/>
        <s v="Sweet Child O' Mine"/>
        <s v="Let Me Love You (w/ Justin Bieber)"/>
        <s v="Numb"/>
        <s v="Africa"/>
        <s v="Who Knows"/>
        <s v="The Man Who Can't Be Moved"/>
        <s v="A Couple Minutes"/>
        <s v="Everybody Wants To Rule The World"/>
        <s v="No One Noticed"/>
        <s v="Without Me"/>
        <s v="Hips Don't Lie (w/ Wyclef Jean)"/>
        <s v="Me Rehúso"/>
        <s v="VeLDÁ (w/ Omar Courtz, Dei V)"/>
        <s v="Style"/>
        <s v="Payphone (w/ Wiz Khalifa)"/>
        <s v="Please Please Please"/>
        <s v="TU SANCHO"/>
        <s v="Shut up My Moms Calling"/>
        <s v="Ready, Steady, Go!"/>
        <s v="We Found Love (w/ Calvin Harris)"/>
        <s v="Sex on Fire"/>
        <s v="Wonderwall - Remastered"/>
        <s v="Too Sweet"/>
        <s v="Can't Hold Us (w/ Macklemore, Ryan Lewis, Ray Dalton)"/>
        <s v="DAISIES"/>
        <s v="Sunflower - Spider-Man: Into the Spider-Verse (w/ Swae Lee)"/>
        <s v="Take on Me - 2015 Remaster"/>
        <s v="Can't Stop - 2014 Remaster"/>
        <s v="Poker Face"/>
        <s v="Cruel Summer"/>
        <s v="Boys Don't Cry"/>
        <s v="luther"/>
        <s v="What You Saying"/>
        <s v="S&amp;M"/>
        <s v="No Pole"/>
        <s v="Last Friday Night (T.G.I.F.)"/>
        <s v="Just Keep Watching (From F1® The Movie) (w/ F1 The Album)"/>
        <s v="Flashing Lights (w/ Dwele)"/>
        <s v="Gangsta's Paradise (w/ L.V.)"/>
        <s v="nuts (w/ rainy bear)"/>
        <s v="Perfect"/>
        <s v="Summertime Sadness"/>
        <s v="Come As You Are - Remastered"/>
        <s v="Breakin' Dishes"/>
        <s v="The Chain - 2004 Remaster"/>
        <s v="Love On The Brain"/>
        <s v="Sign of the Times"/>
        <s v="Sorry"/>
        <s v="Life Goes On"/>
      </sharedItems>
    </cacheField>
    <cacheField name="artist_name" numFmtId="0">
      <sharedItems count="104">
        <s v="BTS"/>
        <s v="Dominic Fike"/>
        <s v="PinkPantheress"/>
        <s v="Olivia Dean"/>
        <s v="Bad Bunny"/>
        <s v="Djo"/>
        <s v="Bruno Mars"/>
        <s v="Dave"/>
        <s v="Taylor Swift"/>
        <s v="sombr"/>
        <s v="Zara Larsson"/>
        <s v="RAYE"/>
        <s v="Harry Styles"/>
        <s v="Bella Kay"/>
        <s v="The Goo Goo Dolls"/>
        <s v="Lady Gaga"/>
        <s v="Sabrina Carpenter"/>
        <s v="Ravyn Lenae"/>
        <s v="Billie Eilish"/>
        <s v="SIENNA SPIRO"/>
        <s v="The Police"/>
        <s v="Tame Impala"/>
        <s v="The Killers"/>
        <s v="Ella Langley"/>
        <s v="She &amp; Him"/>
        <s v="Sean Paul"/>
        <s v="Gigi Perez"/>
        <s v="Benson Boone"/>
        <s v="The Neighbourhood"/>
        <s v="Drake"/>
        <s v="Sam Fender"/>
        <s v="Radiohead"/>
        <s v="Alex Warren"/>
        <s v="Peso Pluma"/>
        <s v="Don Toliver"/>
        <s v="Fleetwood Mac"/>
        <s v="KATSEYE"/>
        <s v="Coldplay"/>
        <s v="Arctic Monkeys"/>
        <s v="Jimin"/>
        <s v="The Weeknd"/>
        <s v="Teddy Swims"/>
        <s v="Vance Joy"/>
        <s v="J Balvin"/>
        <s v="Rauw Alejandro"/>
        <s v="Gorillaz"/>
        <s v="Kendrick Lamar"/>
        <s v="Tyler, The Creator"/>
        <s v="Linkin Park"/>
        <s v="Don Omar"/>
        <s v="W Sound"/>
        <s v="Ryan Castro"/>
        <s v="Chappell Roan"/>
        <s v="Empire Of The Sun"/>
        <s v="Jung Kook"/>
        <s v="Fuerza Regida"/>
        <s v="Lenin Ramírez"/>
        <s v="Michael Jackson"/>
        <s v="KAROL G"/>
        <s v="Neton Vega"/>
        <s v="Herencia De Grandes"/>
        <s v="Ed Sheeran"/>
        <s v="Gracie Abrams"/>
        <s v="Creedence Clearwater Revival"/>
        <s v="Keane"/>
        <s v="Disney"/>
        <s v="Nirvana"/>
        <s v="Noah Kahan"/>
        <s v="OneRepublic"/>
        <s v="Addison Rae"/>
        <s v="Rihanna"/>
        <s v="Evanescence"/>
        <s v="Nelly Furtado"/>
        <s v="Pitbull"/>
        <s v="Beéle"/>
        <s v="Lord Huron"/>
        <s v="Guns N' Roses"/>
        <s v="DJ Snake"/>
        <s v="TOTO"/>
        <s v="Daniel Caesar"/>
        <s v="The Script"/>
        <s v="Tears For Fears"/>
        <s v="The Marías"/>
        <s v="Eminem"/>
        <s v="Shakira"/>
        <s v="Danny Ocean"/>
        <s v="Maroon 5"/>
        <s v="Hotel Ugly"/>
        <s v="Kings of Leon"/>
        <s v="Oasis"/>
        <s v="Hozier"/>
        <s v="Macklemore &amp; Ryan Lewis"/>
        <s v="Justin Bieber"/>
        <s v="Post Malone"/>
        <s v="a-ha"/>
        <s v="Red Hot Chili Peppers"/>
        <s v="The Cure"/>
        <s v="Lil Uzi Vert"/>
        <s v="Katy Perry"/>
        <s v="Tate McRae"/>
        <s v="Kanye West"/>
        <s v="Coolio"/>
        <s v="Lil Peep"/>
        <s v="Lana Del Rey"/>
      </sharedItems>
    </cacheField>
    <cacheField name="streams" numFmtId="0">
      <sharedItems containsSemiMixedTypes="0" containsString="0" containsNumber="1" containsInteger="1" minValue="1191777" maxValue="11273830"/>
    </cacheField>
    <cacheField name="stream_change" numFmtId="0">
      <sharedItems containsSemiMixedTypes="0" containsString="0" containsNumber="1" containsInteger="1" minValue="-4369341" maxValue="189999"/>
    </cacheField>
    <cacheField name="7day" numFmtId="0">
      <sharedItems containsSemiMixedTypes="0" containsString="0" containsNumber="1" containsInteger="1" minValue="2523194" maxValue="36599831"/>
    </cacheField>
    <cacheField name="genre" numFmtId="0">
      <sharedItems count="39">
        <s v="K-Pop"/>
        <s v="Alternative Pop"/>
        <s v="Uk Garage"/>
        <s v="Pop"/>
        <s v="Synth-Pop"/>
        <s v="Offizielle Charts"/>
        <s v="Rap"/>
        <s v="Indie Pop"/>
        <s v="Reggaeton"/>
        <s v="Rock"/>
        <s v="Billboard Hot 100"/>
        <s v="Alternative Rock"/>
        <s v="New Wave"/>
        <s v="Psychedelic Rock"/>
        <s v="Country"/>
        <s v="Dancehall"/>
        <s v="Electronic"/>
        <s v="Hip Hop"/>
        <s v="Regional Mexicano"/>
        <s v="Dance-Pop"/>
        <s v="Girl Group"/>
        <s v="Indie Rock"/>
        <s v="Contemporary R&amp;B"/>
        <s v="R&amp;B"/>
        <s v="Nu Metal"/>
        <s v="Falcom"/>
        <s v="Pop Soul"/>
        <s v="Folk Pop"/>
        <s v="Swamp Rock"/>
        <s v="Special Purpose Artist"/>
        <s v="Grunge"/>
        <s v="Latin"/>
        <s v="Hard Rock"/>
        <s v="Dance"/>
        <s v="Toronto"/>
        <s v="Soundtrack"/>
        <s v="Britpop"/>
        <s v="Dolby Atmos"/>
        <s v="Soul"/>
      </sharedItems>
    </cacheField>
    <cacheField name="country" numFmtId="0">
      <sharedItems count="19">
        <s v="KR"/>
        <s v="Florida"/>
        <s v="England"/>
        <s v="US"/>
        <s v="PR"/>
        <s v="SE"/>
        <s v="GB"/>
        <s v="AU"/>
        <s v="JM"/>
        <s v="IT"/>
        <s v="CA"/>
        <s v="MX"/>
        <s v="CO"/>
        <s v="JP"/>
        <s v="Culiacán"/>
        <s v="Monterrey"/>
        <s v="FR"/>
        <s v="IE"/>
        <s v="NO"/>
      </sharedItems>
    </cacheField>
    <cacheField name="pos" numFmtId="0">
      <sharedItems containsSemiMixedTypes="0" containsString="0" containsNumber="1" containsInteger="1" minValue="1" maxValue="200"/>
    </cacheField>
    <cacheField name="days" numFmtId="0">
      <sharedItems containsSemiMixedTypes="0" containsString="0" containsNumber="1" containsInteger="1" minValue="2" maxValue="3070"/>
    </cacheField>
    <cacheField name="viral_score" numFmtId="0">
      <sharedItems containsSemiMixedTypes="0" containsString="0" containsNumber="1" containsInteger="1" minValue="3774959" maxValue="42333693"/>
    </cacheField>
    <cacheField name="trend" numFmtId="0">
      <sharedItems count="2">
        <s v="Falling"/>
        <s v="Rising"/>
      </sharedItems>
    </cacheField>
    <cacheField name="popularity_category" numFmtId="0">
      <sharedItems count="2">
        <s v="Trending"/>
        <s v="Average"/>
      </sharedItems>
    </cacheField>
    <cacheField name="longevity" numFmtId="0">
      <sharedItems count="3">
        <s v="New"/>
        <s v="Evergreen"/>
        <s v="Stable Hit"/>
      </sharedItems>
    </cacheField>
  </cacheFields>
  <extLst>
    <ext xmlns:x14="http://schemas.microsoft.com/office/spreadsheetml/2009/9/main" uri="{725AE2AE-9491-48be-B2B4-4EB974FC3084}">
      <x14:pivotCacheDefinition pivotCacheId="605723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
  <r>
    <x v="0"/>
    <x v="0"/>
    <n v="11273830"/>
    <n v="-3370522"/>
    <n v="25918182"/>
    <x v="0"/>
    <x v="0"/>
    <n v="1"/>
    <n v="2"/>
    <n v="37192012"/>
    <x v="0"/>
    <x v="0"/>
    <x v="0"/>
  </r>
  <r>
    <x v="1"/>
    <x v="0"/>
    <n v="6815694"/>
    <n v="-4369341"/>
    <n v="18000729"/>
    <x v="0"/>
    <x v="0"/>
    <n v="2"/>
    <n v="2"/>
    <n v="24816423"/>
    <x v="0"/>
    <x v="0"/>
    <x v="0"/>
  </r>
  <r>
    <x v="2"/>
    <x v="1"/>
    <n v="5733862"/>
    <n v="178968"/>
    <n v="36599831"/>
    <x v="1"/>
    <x v="1"/>
    <n v="3"/>
    <n v="119"/>
    <n v="42333693"/>
    <x v="1"/>
    <x v="0"/>
    <x v="1"/>
  </r>
  <r>
    <x v="3"/>
    <x v="0"/>
    <n v="5338608"/>
    <n v="-3396855"/>
    <n v="14074071"/>
    <x v="0"/>
    <x v="0"/>
    <n v="4"/>
    <n v="2"/>
    <n v="19412679"/>
    <x v="0"/>
    <x v="0"/>
    <x v="0"/>
  </r>
  <r>
    <x v="4"/>
    <x v="0"/>
    <n v="5196767"/>
    <n v="-2873904"/>
    <n v="13267438"/>
    <x v="0"/>
    <x v="0"/>
    <n v="5"/>
    <n v="2"/>
    <n v="18464205"/>
    <x v="0"/>
    <x v="0"/>
    <x v="0"/>
  </r>
  <r>
    <x v="5"/>
    <x v="0"/>
    <n v="4749288"/>
    <n v="-2410388"/>
    <n v="11908964"/>
    <x v="0"/>
    <x v="0"/>
    <n v="6"/>
    <n v="2"/>
    <n v="16658252"/>
    <x v="0"/>
    <x v="1"/>
    <x v="0"/>
  </r>
  <r>
    <x v="6"/>
    <x v="2"/>
    <n v="4738329"/>
    <n v="-235112"/>
    <n v="34238168"/>
    <x v="2"/>
    <x v="2"/>
    <n v="7"/>
    <n v="74"/>
    <n v="38976497"/>
    <x v="0"/>
    <x v="1"/>
    <x v="2"/>
  </r>
  <r>
    <x v="7"/>
    <x v="0"/>
    <n v="4718569"/>
    <n v="-3036604"/>
    <n v="12473742"/>
    <x v="0"/>
    <x v="0"/>
    <n v="8"/>
    <n v="2"/>
    <n v="17192311"/>
    <x v="0"/>
    <x v="1"/>
    <x v="0"/>
  </r>
  <r>
    <x v="8"/>
    <x v="0"/>
    <n v="4573989"/>
    <n v="-2809104"/>
    <n v="11957082"/>
    <x v="0"/>
    <x v="0"/>
    <n v="9"/>
    <n v="2"/>
    <n v="16531071"/>
    <x v="0"/>
    <x v="1"/>
    <x v="0"/>
  </r>
  <r>
    <x v="9"/>
    <x v="0"/>
    <n v="4567309"/>
    <n v="-2259887"/>
    <n v="11394505"/>
    <x v="0"/>
    <x v="0"/>
    <n v="10"/>
    <n v="2"/>
    <n v="15961814"/>
    <x v="0"/>
    <x v="1"/>
    <x v="0"/>
  </r>
  <r>
    <x v="10"/>
    <x v="0"/>
    <n v="4490039"/>
    <n v="-2740868"/>
    <n v="11720946"/>
    <x v="0"/>
    <x v="0"/>
    <n v="11"/>
    <n v="2"/>
    <n v="16210985"/>
    <x v="0"/>
    <x v="1"/>
    <x v="0"/>
  </r>
  <r>
    <x v="11"/>
    <x v="0"/>
    <n v="4423675"/>
    <n v="-2305775"/>
    <n v="11153125"/>
    <x v="0"/>
    <x v="0"/>
    <n v="12"/>
    <n v="2"/>
    <n v="15576800"/>
    <x v="0"/>
    <x v="1"/>
    <x v="0"/>
  </r>
  <r>
    <x v="12"/>
    <x v="3"/>
    <n v="4300853"/>
    <n v="-86237"/>
    <n v="28683798"/>
    <x v="3"/>
    <x v="3"/>
    <n v="13"/>
    <n v="214"/>
    <n v="32984651"/>
    <x v="0"/>
    <x v="1"/>
    <x v="1"/>
  </r>
  <r>
    <x v="13"/>
    <x v="4"/>
    <n v="4274742"/>
    <n v="-111657"/>
    <n v="29551375"/>
    <x v="3"/>
    <x v="4"/>
    <n v="14"/>
    <n v="441"/>
    <n v="33826117"/>
    <x v="0"/>
    <x v="1"/>
    <x v="1"/>
  </r>
  <r>
    <x v="14"/>
    <x v="5"/>
    <n v="4108838"/>
    <n v="51706"/>
    <n v="27783861"/>
    <x v="4"/>
    <x v="3"/>
    <n v="15"/>
    <n v="764"/>
    <n v="31892699"/>
    <x v="1"/>
    <x v="1"/>
    <x v="1"/>
  </r>
  <r>
    <x v="15"/>
    <x v="6"/>
    <n v="4007478"/>
    <n v="-499146"/>
    <n v="31739152"/>
    <x v="5"/>
    <x v="3"/>
    <n v="16"/>
    <n v="23"/>
    <n v="35746630"/>
    <x v="0"/>
    <x v="1"/>
    <x v="0"/>
  </r>
  <r>
    <x v="16"/>
    <x v="0"/>
    <n v="3979999"/>
    <n v="-2153273"/>
    <n v="10113271"/>
    <x v="0"/>
    <x v="0"/>
    <n v="17"/>
    <n v="2"/>
    <n v="14093270"/>
    <x v="0"/>
    <x v="1"/>
    <x v="0"/>
  </r>
  <r>
    <x v="17"/>
    <x v="3"/>
    <n v="3932082"/>
    <n v="33687"/>
    <n v="27406397"/>
    <x v="3"/>
    <x v="3"/>
    <n v="18"/>
    <n v="176"/>
    <n v="31338479"/>
    <x v="1"/>
    <x v="1"/>
    <x v="1"/>
  </r>
  <r>
    <x v="18"/>
    <x v="0"/>
    <n v="3897341"/>
    <n v="-2024958"/>
    <n v="9819640"/>
    <x v="0"/>
    <x v="0"/>
    <n v="19"/>
    <n v="2"/>
    <n v="13716981"/>
    <x v="0"/>
    <x v="1"/>
    <x v="0"/>
  </r>
  <r>
    <x v="19"/>
    <x v="7"/>
    <n v="3876044"/>
    <n v="-197505"/>
    <n v="25945780"/>
    <x v="6"/>
    <x v="3"/>
    <n v="20"/>
    <n v="109"/>
    <n v="29821824"/>
    <x v="0"/>
    <x v="1"/>
    <x v="1"/>
  </r>
  <r>
    <x v="20"/>
    <x v="0"/>
    <n v="3769141"/>
    <n v="-2733812"/>
    <n v="10272094"/>
    <x v="0"/>
    <x v="0"/>
    <n v="21"/>
    <n v="2"/>
    <n v="14041235"/>
    <x v="0"/>
    <x v="1"/>
    <x v="0"/>
  </r>
  <r>
    <x v="21"/>
    <x v="0"/>
    <n v="3766459"/>
    <n v="-1959266"/>
    <n v="9492184"/>
    <x v="0"/>
    <x v="0"/>
    <n v="22"/>
    <n v="2"/>
    <n v="13258643"/>
    <x v="0"/>
    <x v="1"/>
    <x v="0"/>
  </r>
  <r>
    <x v="22"/>
    <x v="8"/>
    <n v="3721332"/>
    <n v="-164240"/>
    <n v="26075129"/>
    <x v="3"/>
    <x v="3"/>
    <n v="23"/>
    <n v="170"/>
    <n v="29796461"/>
    <x v="0"/>
    <x v="1"/>
    <x v="1"/>
  </r>
  <r>
    <x v="23"/>
    <x v="9"/>
    <n v="3583316"/>
    <n v="-131585"/>
    <n v="25787563"/>
    <x v="7"/>
    <x v="3"/>
    <n v="25"/>
    <n v="369"/>
    <n v="29370879"/>
    <x v="0"/>
    <x v="1"/>
    <x v="1"/>
  </r>
  <r>
    <x v="24"/>
    <x v="4"/>
    <n v="3344867"/>
    <n v="-44475"/>
    <n v="22663387"/>
    <x v="8"/>
    <x v="4"/>
    <n v="26"/>
    <n v="441"/>
    <n v="26008254"/>
    <x v="0"/>
    <x v="1"/>
    <x v="1"/>
  </r>
  <r>
    <x v="25"/>
    <x v="10"/>
    <n v="3341957"/>
    <n v="-21457"/>
    <n v="21857968"/>
    <x v="3"/>
    <x v="5"/>
    <n v="27"/>
    <n v="761"/>
    <n v="25199925"/>
    <x v="0"/>
    <x v="1"/>
    <x v="1"/>
  </r>
  <r>
    <x v="26"/>
    <x v="11"/>
    <n v="3241010"/>
    <n v="5314"/>
    <n v="22068930"/>
    <x v="3"/>
    <x v="6"/>
    <n v="28"/>
    <n v="184"/>
    <n v="25309940"/>
    <x v="1"/>
    <x v="1"/>
    <x v="1"/>
  </r>
  <r>
    <x v="27"/>
    <x v="4"/>
    <n v="3221298"/>
    <n v="-80099"/>
    <n v="21951925"/>
    <x v="8"/>
    <x v="4"/>
    <n v="29"/>
    <n v="441"/>
    <n v="25173223"/>
    <x v="0"/>
    <x v="1"/>
    <x v="1"/>
  </r>
  <r>
    <x v="28"/>
    <x v="12"/>
    <n v="3101460"/>
    <n v="-420059"/>
    <n v="24771218"/>
    <x v="9"/>
    <x v="2"/>
    <n v="31"/>
    <n v="16"/>
    <n v="27872678"/>
    <x v="0"/>
    <x v="1"/>
    <x v="0"/>
  </r>
  <r>
    <x v="29"/>
    <x v="13"/>
    <n v="2978129"/>
    <n v="-293545"/>
    <n v="22515039"/>
    <x v="10"/>
    <x v="3"/>
    <n v="32"/>
    <n v="30"/>
    <n v="25493168"/>
    <x v="0"/>
    <x v="1"/>
    <x v="0"/>
  </r>
  <r>
    <x v="30"/>
    <x v="6"/>
    <n v="2860193"/>
    <n v="-16107"/>
    <n v="19846361"/>
    <x v="3"/>
    <x v="3"/>
    <n v="33"/>
    <n v="72"/>
    <n v="22706554"/>
    <x v="0"/>
    <x v="1"/>
    <x v="2"/>
  </r>
  <r>
    <x v="31"/>
    <x v="14"/>
    <n v="2776320"/>
    <n v="-126309"/>
    <n v="19907609"/>
    <x v="11"/>
    <x v="3"/>
    <n v="34"/>
    <n v="919"/>
    <n v="22683929"/>
    <x v="0"/>
    <x v="1"/>
    <x v="1"/>
  </r>
  <r>
    <x v="32"/>
    <x v="15"/>
    <n v="2691880"/>
    <n v="-142292"/>
    <n v="19325340"/>
    <x v="3"/>
    <x v="3"/>
    <n v="35"/>
    <n v="583"/>
    <n v="22017220"/>
    <x v="0"/>
    <x v="1"/>
    <x v="1"/>
  </r>
  <r>
    <x v="33"/>
    <x v="16"/>
    <n v="2649376"/>
    <n v="-38989"/>
    <n v="17388953"/>
    <x v="3"/>
    <x v="3"/>
    <n v="36"/>
    <n v="289"/>
    <n v="20038329"/>
    <x v="0"/>
    <x v="1"/>
    <x v="1"/>
  </r>
  <r>
    <x v="34"/>
    <x v="4"/>
    <n v="2649180"/>
    <n v="-7253"/>
    <n v="17660827"/>
    <x v="8"/>
    <x v="4"/>
    <n v="37"/>
    <n v="483"/>
    <n v="20310007"/>
    <x v="0"/>
    <x v="1"/>
    <x v="1"/>
  </r>
  <r>
    <x v="35"/>
    <x v="17"/>
    <n v="2547681"/>
    <n v="-24120"/>
    <n v="17684406"/>
    <x v="3"/>
    <x v="3"/>
    <n v="38"/>
    <n v="368"/>
    <n v="20232087"/>
    <x v="0"/>
    <x v="1"/>
    <x v="1"/>
  </r>
  <r>
    <x v="36"/>
    <x v="4"/>
    <n v="2542905"/>
    <n v="-123890"/>
    <n v="17968199"/>
    <x v="10"/>
    <x v="4"/>
    <n v="39"/>
    <n v="437"/>
    <n v="20511104"/>
    <x v="0"/>
    <x v="1"/>
    <x v="1"/>
  </r>
  <r>
    <x v="37"/>
    <x v="1"/>
    <n v="2531236"/>
    <n v="-178737"/>
    <n v="17360808"/>
    <x v="5"/>
    <x v="1"/>
    <n v="40"/>
    <n v="28"/>
    <n v="19892044"/>
    <x v="0"/>
    <x v="1"/>
    <x v="0"/>
  </r>
  <r>
    <x v="38"/>
    <x v="18"/>
    <n v="2529075"/>
    <n v="24180"/>
    <n v="17056445"/>
    <x v="1"/>
    <x v="3"/>
    <n v="41"/>
    <n v="674"/>
    <n v="19585520"/>
    <x v="1"/>
    <x v="1"/>
    <x v="1"/>
  </r>
  <r>
    <x v="39"/>
    <x v="19"/>
    <n v="2398309"/>
    <n v="-322885"/>
    <n v="19212395"/>
    <x v="3"/>
    <x v="6"/>
    <n v="43"/>
    <n v="102"/>
    <n v="21610704"/>
    <x v="0"/>
    <x v="1"/>
    <x v="1"/>
  </r>
  <r>
    <x v="40"/>
    <x v="20"/>
    <n v="2367833"/>
    <n v="25446"/>
    <n v="16070168"/>
    <x v="12"/>
    <x v="6"/>
    <n v="44"/>
    <n v="1619"/>
    <n v="18438001"/>
    <x v="1"/>
    <x v="1"/>
    <x v="1"/>
  </r>
  <r>
    <x v="41"/>
    <x v="21"/>
    <n v="2332341"/>
    <n v="-89323"/>
    <n v="15767565"/>
    <x v="13"/>
    <x v="7"/>
    <n v="45"/>
    <n v="36"/>
    <n v="18099906"/>
    <x v="0"/>
    <x v="1"/>
    <x v="2"/>
  </r>
  <r>
    <x v="42"/>
    <x v="9"/>
    <n v="2260402"/>
    <n v="-86182"/>
    <n v="15853606"/>
    <x v="7"/>
    <x v="3"/>
    <n v="46"/>
    <n v="236"/>
    <n v="18114008"/>
    <x v="0"/>
    <x v="1"/>
    <x v="1"/>
  </r>
  <r>
    <x v="43"/>
    <x v="22"/>
    <n v="2220784"/>
    <n v="-28156"/>
    <n v="14355698"/>
    <x v="9"/>
    <x v="6"/>
    <n v="47"/>
    <n v="1682"/>
    <n v="16576482"/>
    <x v="0"/>
    <x v="1"/>
    <x v="1"/>
  </r>
  <r>
    <x v="44"/>
    <x v="16"/>
    <n v="2213750"/>
    <n v="90339"/>
    <n v="13566149"/>
    <x v="3"/>
    <x v="3"/>
    <n v="48"/>
    <n v="709"/>
    <n v="15779899"/>
    <x v="1"/>
    <x v="1"/>
    <x v="1"/>
  </r>
  <r>
    <x v="45"/>
    <x v="23"/>
    <n v="2169091"/>
    <n v="10331"/>
    <n v="13900513"/>
    <x v="14"/>
    <x v="3"/>
    <n v="49"/>
    <n v="80"/>
    <n v="16069604"/>
    <x v="1"/>
    <x v="1"/>
    <x v="2"/>
  </r>
  <r>
    <x v="46"/>
    <x v="24"/>
    <n v="2155500"/>
    <n v="-138406"/>
    <n v="15647967"/>
    <x v="7"/>
    <x v="3"/>
    <n v="50"/>
    <n v="104"/>
    <n v="17803467"/>
    <x v="0"/>
    <x v="1"/>
    <x v="1"/>
  </r>
  <r>
    <x v="47"/>
    <x v="25"/>
    <n v="2154338"/>
    <n v="-112939"/>
    <n v="14951009"/>
    <x v="15"/>
    <x v="8"/>
    <n v="51"/>
    <n v="65"/>
    <n v="17105347"/>
    <x v="0"/>
    <x v="1"/>
    <x v="2"/>
  </r>
  <r>
    <x v="48"/>
    <x v="9"/>
    <n v="2139700"/>
    <n v="-220893"/>
    <n v="15402927"/>
    <x v="7"/>
    <x v="3"/>
    <n v="52"/>
    <n v="44"/>
    <n v="17542627"/>
    <x v="0"/>
    <x v="1"/>
    <x v="2"/>
  </r>
  <r>
    <x v="49"/>
    <x v="26"/>
    <n v="2107410"/>
    <n v="-121996"/>
    <n v="16461691"/>
    <x v="16"/>
    <x v="9"/>
    <n v="53"/>
    <n v="581"/>
    <n v="18569101"/>
    <x v="0"/>
    <x v="1"/>
    <x v="1"/>
  </r>
  <r>
    <x v="50"/>
    <x v="27"/>
    <n v="2090231"/>
    <n v="129461"/>
    <n v="13021976"/>
    <x v="3"/>
    <x v="3"/>
    <n v="54"/>
    <n v="793"/>
    <n v="15112207"/>
    <x v="1"/>
    <x v="1"/>
    <x v="1"/>
  </r>
  <r>
    <x v="51"/>
    <x v="28"/>
    <n v="2068795"/>
    <n v="-177998"/>
    <n v="15845100"/>
    <x v="9"/>
    <x v="6"/>
    <n v="56"/>
    <n v="2120"/>
    <n v="17913895"/>
    <x v="0"/>
    <x v="1"/>
    <x v="1"/>
  </r>
  <r>
    <x v="52"/>
    <x v="29"/>
    <n v="2035423"/>
    <n v="-105895"/>
    <n v="13481976"/>
    <x v="17"/>
    <x v="10"/>
    <n v="57"/>
    <n v="2135"/>
    <n v="15517399"/>
    <x v="0"/>
    <x v="1"/>
    <x v="1"/>
  </r>
  <r>
    <x v="53"/>
    <x v="30"/>
    <n v="2020602"/>
    <n v="-34643"/>
    <n v="12610414"/>
    <x v="9"/>
    <x v="6"/>
    <n v="58"/>
    <n v="23"/>
    <n v="14631016"/>
    <x v="0"/>
    <x v="1"/>
    <x v="0"/>
  </r>
  <r>
    <x v="54"/>
    <x v="31"/>
    <n v="2011657"/>
    <n v="-91449"/>
    <n v="14176633"/>
    <x v="9"/>
    <x v="6"/>
    <n v="59"/>
    <n v="842"/>
    <n v="16188290"/>
    <x v="0"/>
    <x v="1"/>
    <x v="1"/>
  </r>
  <r>
    <x v="55"/>
    <x v="8"/>
    <n v="1992549"/>
    <n v="-70008"/>
    <n v="14093798"/>
    <x v="3"/>
    <x v="3"/>
    <n v="60"/>
    <n v="170"/>
    <n v="16086347"/>
    <x v="0"/>
    <x v="1"/>
    <x v="1"/>
  </r>
  <r>
    <x v="56"/>
    <x v="32"/>
    <n v="1992250"/>
    <n v="-130117"/>
    <n v="13935046"/>
    <x v="5"/>
    <x v="6"/>
    <n v="61"/>
    <n v="23"/>
    <n v="15927296"/>
    <x v="0"/>
    <x v="1"/>
    <x v="0"/>
  </r>
  <r>
    <x v="57"/>
    <x v="33"/>
    <n v="1952764"/>
    <n v="66159"/>
    <n v="12629601"/>
    <x v="18"/>
    <x v="11"/>
    <n v="62"/>
    <n v="86"/>
    <n v="14582365"/>
    <x v="1"/>
    <x v="1"/>
    <x v="2"/>
  </r>
  <r>
    <x v="58"/>
    <x v="34"/>
    <n v="1948495"/>
    <n v="-127853"/>
    <n v="13479304"/>
    <x v="10"/>
    <x v="3"/>
    <n v="63"/>
    <n v="51"/>
    <n v="15427799"/>
    <x v="0"/>
    <x v="1"/>
    <x v="2"/>
  </r>
  <r>
    <x v="59"/>
    <x v="6"/>
    <n v="1912383"/>
    <n v="-142486"/>
    <n v="12699826"/>
    <x v="3"/>
    <x v="3"/>
    <n v="65"/>
    <n v="1254"/>
    <n v="14612209"/>
    <x v="0"/>
    <x v="1"/>
    <x v="1"/>
  </r>
  <r>
    <x v="60"/>
    <x v="21"/>
    <n v="1906471"/>
    <n v="-84531"/>
    <n v="13354497"/>
    <x v="19"/>
    <x v="7"/>
    <n v="66"/>
    <n v="138"/>
    <n v="15260968"/>
    <x v="0"/>
    <x v="1"/>
    <x v="1"/>
  </r>
  <r>
    <x v="61"/>
    <x v="35"/>
    <n v="1894536"/>
    <n v="109844"/>
    <n v="11986886"/>
    <x v="9"/>
    <x v="6"/>
    <n v="67"/>
    <n v="1004"/>
    <n v="13881422"/>
    <x v="1"/>
    <x v="1"/>
    <x v="1"/>
  </r>
  <r>
    <x v="62"/>
    <x v="36"/>
    <n v="1850006"/>
    <n v="60664"/>
    <n v="12468922"/>
    <x v="20"/>
    <x v="3"/>
    <n v="68"/>
    <n v="275"/>
    <n v="14318928"/>
    <x v="1"/>
    <x v="1"/>
    <x v="1"/>
  </r>
  <r>
    <x v="63"/>
    <x v="37"/>
    <n v="1828666"/>
    <n v="-99526"/>
    <n v="12862160"/>
    <x v="11"/>
    <x v="6"/>
    <n v="69"/>
    <n v="1909"/>
    <n v="14690826"/>
    <x v="0"/>
    <x v="1"/>
    <x v="1"/>
  </r>
  <r>
    <x v="64"/>
    <x v="6"/>
    <n v="1827015"/>
    <n v="-180903"/>
    <n v="13448378"/>
    <x v="3"/>
    <x v="3"/>
    <n v="70"/>
    <n v="1548"/>
    <n v="15275393"/>
    <x v="0"/>
    <x v="1"/>
    <x v="1"/>
  </r>
  <r>
    <x v="65"/>
    <x v="38"/>
    <n v="1825413"/>
    <n v="-80003"/>
    <n v="13563046"/>
    <x v="21"/>
    <x v="6"/>
    <n v="71"/>
    <n v="1354"/>
    <n v="15388459"/>
    <x v="0"/>
    <x v="1"/>
    <x v="1"/>
  </r>
  <r>
    <x v="66"/>
    <x v="39"/>
    <n v="1807214"/>
    <n v="176731"/>
    <n v="11524586"/>
    <x v="22"/>
    <x v="0"/>
    <n v="72"/>
    <n v="611"/>
    <n v="13331800"/>
    <x v="1"/>
    <x v="1"/>
    <x v="1"/>
  </r>
  <r>
    <x v="67"/>
    <x v="4"/>
    <n v="1780848"/>
    <n v="-133648"/>
    <n v="12359622"/>
    <x v="8"/>
    <x v="4"/>
    <n v="74"/>
    <n v="375"/>
    <n v="14140470"/>
    <x v="0"/>
    <x v="1"/>
    <x v="1"/>
  </r>
  <r>
    <x v="68"/>
    <x v="33"/>
    <n v="1780764"/>
    <n v="34375"/>
    <n v="11510694"/>
    <x v="18"/>
    <x v="11"/>
    <n v="75"/>
    <n v="86"/>
    <n v="13291458"/>
    <x v="1"/>
    <x v="1"/>
    <x v="2"/>
  </r>
  <r>
    <x v="69"/>
    <x v="40"/>
    <n v="1761445"/>
    <n v="-119116"/>
    <n v="12541479"/>
    <x v="23"/>
    <x v="10"/>
    <n v="76"/>
    <n v="2095"/>
    <n v="14302924"/>
    <x v="0"/>
    <x v="1"/>
    <x v="1"/>
  </r>
  <r>
    <x v="70"/>
    <x v="41"/>
    <n v="1737868"/>
    <n v="29374"/>
    <n v="11380332"/>
    <x v="3"/>
    <x v="3"/>
    <n v="77"/>
    <n v="856"/>
    <n v="13118200"/>
    <x v="1"/>
    <x v="1"/>
    <x v="1"/>
  </r>
  <r>
    <x v="71"/>
    <x v="42"/>
    <n v="1737857"/>
    <n v="-5537"/>
    <n v="11544093"/>
    <x v="9"/>
    <x v="7"/>
    <n v="78"/>
    <n v="2586"/>
    <n v="13281950"/>
    <x v="0"/>
    <x v="1"/>
    <x v="1"/>
  </r>
  <r>
    <x v="72"/>
    <x v="18"/>
    <n v="1730195"/>
    <n v="-201850"/>
    <n v="13900491"/>
    <x v="1"/>
    <x v="3"/>
    <n v="79"/>
    <n v="674"/>
    <n v="15630686"/>
    <x v="0"/>
    <x v="1"/>
    <x v="1"/>
  </r>
  <r>
    <x v="73"/>
    <x v="43"/>
    <n v="1708412"/>
    <n v="3072"/>
    <n v="11498926"/>
    <x v="16"/>
    <x v="12"/>
    <n v="80"/>
    <n v="988"/>
    <n v="13207338"/>
    <x v="1"/>
    <x v="1"/>
    <x v="1"/>
  </r>
  <r>
    <x v="74"/>
    <x v="44"/>
    <n v="1674168"/>
    <n v="25719"/>
    <n v="11406360"/>
    <x v="8"/>
    <x v="4"/>
    <n v="82"/>
    <n v="427"/>
    <n v="13080528"/>
    <x v="1"/>
    <x v="1"/>
    <x v="1"/>
  </r>
  <r>
    <x v="75"/>
    <x v="45"/>
    <n v="1669648"/>
    <n v="-99808"/>
    <n v="11921501"/>
    <x v="16"/>
    <x v="2"/>
    <n v="83"/>
    <n v="443"/>
    <n v="13591149"/>
    <x v="0"/>
    <x v="1"/>
    <x v="1"/>
  </r>
  <r>
    <x v="76"/>
    <x v="46"/>
    <n v="1665602"/>
    <n v="-10997"/>
    <n v="11456499"/>
    <x v="17"/>
    <x v="3"/>
    <n v="84"/>
    <n v="1016"/>
    <n v="13122101"/>
    <x v="0"/>
    <x v="1"/>
    <x v="1"/>
  </r>
  <r>
    <x v="77"/>
    <x v="47"/>
    <n v="1662229"/>
    <n v="73090"/>
    <n v="10586720"/>
    <x v="17"/>
    <x v="3"/>
    <n v="85"/>
    <n v="1066"/>
    <n v="12248949"/>
    <x v="1"/>
    <x v="1"/>
    <x v="1"/>
  </r>
  <r>
    <x v="78"/>
    <x v="48"/>
    <n v="1647656"/>
    <n v="-111701"/>
    <n v="11401354"/>
    <x v="24"/>
    <x v="3"/>
    <n v="86"/>
    <n v="1012"/>
    <n v="13049010"/>
    <x v="0"/>
    <x v="1"/>
    <x v="1"/>
  </r>
  <r>
    <x v="79"/>
    <x v="40"/>
    <n v="1643774"/>
    <n v="-137154"/>
    <n v="12741548"/>
    <x v="23"/>
    <x v="10"/>
    <n v="87"/>
    <n v="896"/>
    <n v="14385322"/>
    <x v="0"/>
    <x v="1"/>
    <x v="1"/>
  </r>
  <r>
    <x v="80"/>
    <x v="49"/>
    <n v="1643700"/>
    <n v="-105775"/>
    <n v="10737763"/>
    <x v="8"/>
    <x v="4"/>
    <n v="88"/>
    <n v="802"/>
    <n v="12381463"/>
    <x v="0"/>
    <x v="1"/>
    <x v="1"/>
  </r>
  <r>
    <x v="81"/>
    <x v="12"/>
    <n v="1643576"/>
    <n v="-159524"/>
    <n v="13195579"/>
    <x v="3"/>
    <x v="2"/>
    <n v="89"/>
    <n v="58"/>
    <n v="14839155"/>
    <x v="0"/>
    <x v="1"/>
    <x v="2"/>
  </r>
  <r>
    <x v="82"/>
    <x v="50"/>
    <n v="1639753"/>
    <n v="-17075"/>
    <n v="10668572"/>
    <x v="25"/>
    <x v="13"/>
    <n v="90"/>
    <n v="389"/>
    <n v="12308325"/>
    <x v="0"/>
    <x v="1"/>
    <x v="1"/>
  </r>
  <r>
    <x v="83"/>
    <x v="51"/>
    <n v="1634806"/>
    <n v="64909"/>
    <n v="10801896"/>
    <x v="9"/>
    <x v="3"/>
    <n v="91"/>
    <n v="75"/>
    <n v="12436702"/>
    <x v="1"/>
    <x v="1"/>
    <x v="2"/>
  </r>
  <r>
    <x v="84"/>
    <x v="52"/>
    <n v="1621060"/>
    <n v="15852"/>
    <n v="10803226"/>
    <x v="3"/>
    <x v="3"/>
    <n v="92"/>
    <n v="710"/>
    <n v="12424286"/>
    <x v="1"/>
    <x v="1"/>
    <x v="1"/>
  </r>
  <r>
    <x v="85"/>
    <x v="37"/>
    <n v="1610233"/>
    <n v="106290"/>
    <n v="10117917"/>
    <x v="11"/>
    <x v="6"/>
    <n v="93"/>
    <n v="1329"/>
    <n v="11728150"/>
    <x v="1"/>
    <x v="1"/>
    <x v="1"/>
  </r>
  <r>
    <x v="86"/>
    <x v="12"/>
    <n v="1608775"/>
    <n v="-150504"/>
    <n v="11660629"/>
    <x v="3"/>
    <x v="2"/>
    <n v="94"/>
    <n v="1401"/>
    <n v="13269404"/>
    <x v="0"/>
    <x v="1"/>
    <x v="1"/>
  </r>
  <r>
    <x v="87"/>
    <x v="53"/>
    <n v="1594097"/>
    <n v="-30037"/>
    <n v="11149329"/>
    <x v="16"/>
    <x v="7"/>
    <n v="95"/>
    <n v="242"/>
    <n v="12743426"/>
    <x v="0"/>
    <x v="1"/>
    <x v="1"/>
  </r>
  <r>
    <x v="88"/>
    <x v="21"/>
    <n v="1593781"/>
    <n v="-51333"/>
    <n v="10870662"/>
    <x v="13"/>
    <x v="7"/>
    <n v="96"/>
    <n v="510"/>
    <n v="12464443"/>
    <x v="0"/>
    <x v="1"/>
    <x v="1"/>
  </r>
  <r>
    <x v="89"/>
    <x v="38"/>
    <n v="1587695"/>
    <n v="-113645"/>
    <n v="11653237"/>
    <x v="21"/>
    <x v="6"/>
    <n v="97"/>
    <n v="1537"/>
    <n v="13240932"/>
    <x v="0"/>
    <x v="1"/>
    <x v="1"/>
  </r>
  <r>
    <x v="90"/>
    <x v="54"/>
    <n v="1580746"/>
    <n v="-80854"/>
    <n v="11202875"/>
    <x v="3"/>
    <x v="0"/>
    <n v="98"/>
    <n v="981"/>
    <n v="12783621"/>
    <x v="0"/>
    <x v="1"/>
    <x v="1"/>
  </r>
  <r>
    <x v="91"/>
    <x v="55"/>
    <n v="1564019"/>
    <n v="112870"/>
    <n v="10014833"/>
    <x v="10"/>
    <x v="11"/>
    <n v="99"/>
    <n v="317"/>
    <n v="11578852"/>
    <x v="1"/>
    <x v="1"/>
    <x v="1"/>
  </r>
  <r>
    <x v="92"/>
    <x v="56"/>
    <n v="1563733"/>
    <n v="90601"/>
    <n v="10043908"/>
    <x v="18"/>
    <x v="11"/>
    <n v="100"/>
    <n v="58"/>
    <n v="11607641"/>
    <x v="1"/>
    <x v="1"/>
    <x v="2"/>
  </r>
  <r>
    <x v="93"/>
    <x v="19"/>
    <n v="1558344"/>
    <n v="-296012"/>
    <n v="12044907"/>
    <x v="26"/>
    <x v="6"/>
    <n v="101"/>
    <n v="9"/>
    <n v="13603251"/>
    <x v="0"/>
    <x v="1"/>
    <x v="0"/>
  </r>
  <r>
    <x v="94"/>
    <x v="57"/>
    <n v="1551069"/>
    <n v="20972"/>
    <n v="9991848"/>
    <x v="3"/>
    <x v="3"/>
    <n v="102"/>
    <n v="363"/>
    <n v="11542917"/>
    <x v="1"/>
    <x v="1"/>
    <x v="1"/>
  </r>
  <r>
    <x v="95"/>
    <x v="58"/>
    <n v="1540953"/>
    <n v="46742"/>
    <n v="9623813"/>
    <x v="8"/>
    <x v="12"/>
    <n v="103"/>
    <n v="583"/>
    <n v="11164766"/>
    <x v="1"/>
    <x v="1"/>
    <x v="1"/>
  </r>
  <r>
    <x v="96"/>
    <x v="59"/>
    <n v="1537690"/>
    <n v="56324"/>
    <n v="10293259"/>
    <x v="18"/>
    <x v="14"/>
    <n v="104"/>
    <n v="127"/>
    <n v="11830949"/>
    <x v="1"/>
    <x v="1"/>
    <x v="1"/>
  </r>
  <r>
    <x v="97"/>
    <x v="60"/>
    <n v="1536251"/>
    <n v="49704"/>
    <n v="9999127"/>
    <x v="18"/>
    <x v="15"/>
    <n v="105"/>
    <n v="122"/>
    <n v="11535378"/>
    <x v="1"/>
    <x v="1"/>
    <x v="1"/>
  </r>
  <r>
    <x v="98"/>
    <x v="9"/>
    <n v="1535615"/>
    <n v="-88400"/>
    <n v="10972970"/>
    <x v="7"/>
    <x v="3"/>
    <n v="106"/>
    <n v="358"/>
    <n v="12508585"/>
    <x v="0"/>
    <x v="1"/>
    <x v="1"/>
  </r>
  <r>
    <x v="99"/>
    <x v="61"/>
    <n v="1532739"/>
    <n v="-41473"/>
    <n v="10263688"/>
    <x v="3"/>
    <x v="6"/>
    <n v="107"/>
    <n v="2815"/>
    <n v="11796427"/>
    <x v="0"/>
    <x v="1"/>
    <x v="1"/>
  </r>
  <r>
    <x v="100"/>
    <x v="62"/>
    <n v="1526228"/>
    <n v="-51917"/>
    <n v="10719195"/>
    <x v="27"/>
    <x v="3"/>
    <n v="108"/>
    <n v="519"/>
    <n v="12245423"/>
    <x v="0"/>
    <x v="1"/>
    <x v="1"/>
  </r>
  <r>
    <x v="101"/>
    <x v="10"/>
    <n v="1512185"/>
    <n v="-10911"/>
    <n v="10133254"/>
    <x v="19"/>
    <x v="5"/>
    <n v="109"/>
    <n v="63"/>
    <n v="11645439"/>
    <x v="0"/>
    <x v="1"/>
    <x v="2"/>
  </r>
  <r>
    <x v="102"/>
    <x v="6"/>
    <n v="1508958"/>
    <n v="144568"/>
    <n v="10366342"/>
    <x v="3"/>
    <x v="3"/>
    <n v="110"/>
    <n v="1476"/>
    <n v="11875300"/>
    <x v="1"/>
    <x v="1"/>
    <x v="1"/>
  </r>
  <r>
    <x v="103"/>
    <x v="63"/>
    <n v="1507387"/>
    <n v="52997"/>
    <n v="9344647"/>
    <x v="28"/>
    <x v="3"/>
    <n v="111"/>
    <n v="484"/>
    <n v="10852034"/>
    <x v="1"/>
    <x v="1"/>
    <x v="1"/>
  </r>
  <r>
    <x v="104"/>
    <x v="37"/>
    <n v="1504857"/>
    <n v="-3015"/>
    <n v="10932582"/>
    <x v="11"/>
    <x v="6"/>
    <n v="112"/>
    <n v="562"/>
    <n v="12437439"/>
    <x v="0"/>
    <x v="1"/>
    <x v="1"/>
  </r>
  <r>
    <x v="105"/>
    <x v="55"/>
    <n v="1503126"/>
    <n v="62199"/>
    <n v="9876432"/>
    <x v="18"/>
    <x v="11"/>
    <n v="113"/>
    <n v="309"/>
    <n v="11379558"/>
    <x v="1"/>
    <x v="1"/>
    <x v="1"/>
  </r>
  <r>
    <x v="106"/>
    <x v="64"/>
    <n v="1496326"/>
    <n v="10006"/>
    <n v="10165562"/>
    <x v="11"/>
    <x v="6"/>
    <n v="114"/>
    <n v="1193"/>
    <n v="11661888"/>
    <x v="1"/>
    <x v="1"/>
    <x v="1"/>
  </r>
  <r>
    <x v="107"/>
    <x v="12"/>
    <n v="1480809"/>
    <n v="-206276"/>
    <n v="12746602"/>
    <x v="9"/>
    <x v="2"/>
    <n v="115"/>
    <n v="16"/>
    <n v="14227411"/>
    <x v="0"/>
    <x v="1"/>
    <x v="0"/>
  </r>
  <r>
    <x v="108"/>
    <x v="65"/>
    <n v="1466813"/>
    <n v="189999"/>
    <n v="4001191"/>
    <x v="29"/>
    <x v="3"/>
    <n v="116"/>
    <n v="58"/>
    <n v="5468004"/>
    <x v="1"/>
    <x v="1"/>
    <x v="2"/>
  </r>
  <r>
    <x v="109"/>
    <x v="66"/>
    <n v="1453513"/>
    <n v="-125183"/>
    <n v="10271555"/>
    <x v="30"/>
    <x v="3"/>
    <n v="117"/>
    <n v="727"/>
    <n v="11725068"/>
    <x v="0"/>
    <x v="1"/>
    <x v="1"/>
  </r>
  <r>
    <x v="110"/>
    <x v="40"/>
    <n v="1448450"/>
    <n v="11224"/>
    <n v="9729402"/>
    <x v="23"/>
    <x v="10"/>
    <n v="118"/>
    <n v="2301"/>
    <n v="11177852"/>
    <x v="1"/>
    <x v="1"/>
    <x v="1"/>
  </r>
  <r>
    <x v="111"/>
    <x v="33"/>
    <n v="1440677"/>
    <n v="5573"/>
    <n v="9736835"/>
    <x v="18"/>
    <x v="11"/>
    <n v="119"/>
    <n v="86"/>
    <n v="11177512"/>
    <x v="1"/>
    <x v="1"/>
    <x v="2"/>
  </r>
  <r>
    <x v="112"/>
    <x v="67"/>
    <n v="1430611"/>
    <n v="-374516"/>
    <n v="12359863"/>
    <x v="27"/>
    <x v="3"/>
    <n v="120"/>
    <n v="9"/>
    <n v="13790474"/>
    <x v="0"/>
    <x v="1"/>
    <x v="0"/>
  </r>
  <r>
    <x v="113"/>
    <x v="6"/>
    <n v="1423798"/>
    <n v="-102703"/>
    <n v="10482326"/>
    <x v="3"/>
    <x v="3"/>
    <n v="121"/>
    <n v="1197"/>
    <n v="11906124"/>
    <x v="0"/>
    <x v="1"/>
    <x v="1"/>
  </r>
  <r>
    <x v="114"/>
    <x v="12"/>
    <n v="1418986"/>
    <n v="-230104"/>
    <n v="12650537"/>
    <x v="3"/>
    <x v="2"/>
    <n v="122"/>
    <n v="16"/>
    <n v="14069523"/>
    <x v="0"/>
    <x v="1"/>
    <x v="0"/>
  </r>
  <r>
    <x v="115"/>
    <x v="3"/>
    <n v="1416007"/>
    <n v="-50721"/>
    <n v="9872551"/>
    <x v="3"/>
    <x v="3"/>
    <n v="123"/>
    <n v="212"/>
    <n v="11288558"/>
    <x v="0"/>
    <x v="1"/>
    <x v="1"/>
  </r>
  <r>
    <x v="116"/>
    <x v="68"/>
    <n v="1414383"/>
    <n v="-31879"/>
    <n v="9525522"/>
    <x v="3"/>
    <x v="3"/>
    <n v="124"/>
    <n v="2495"/>
    <n v="10939905"/>
    <x v="0"/>
    <x v="1"/>
    <x v="1"/>
  </r>
  <r>
    <x v="117"/>
    <x v="69"/>
    <n v="1404894"/>
    <n v="-2613"/>
    <n v="10047427"/>
    <x v="3"/>
    <x v="3"/>
    <n v="125"/>
    <n v="120"/>
    <n v="11452321"/>
    <x v="0"/>
    <x v="1"/>
    <x v="1"/>
  </r>
  <r>
    <x v="118"/>
    <x v="70"/>
    <n v="1398296"/>
    <n v="-52230"/>
    <n v="9276305"/>
    <x v="3"/>
    <x v="3"/>
    <n v="126"/>
    <n v="131"/>
    <n v="10674601"/>
    <x v="0"/>
    <x v="1"/>
    <x v="1"/>
  </r>
  <r>
    <x v="119"/>
    <x v="71"/>
    <n v="1396427"/>
    <n v="-131213"/>
    <n v="10205781"/>
    <x v="9"/>
    <x v="3"/>
    <n v="127"/>
    <n v="341"/>
    <n v="11602208"/>
    <x v="0"/>
    <x v="1"/>
    <x v="1"/>
  </r>
  <r>
    <x v="120"/>
    <x v="70"/>
    <n v="1395227"/>
    <n v="-40325"/>
    <n v="9282714"/>
    <x v="3"/>
    <x v="3"/>
    <n v="128"/>
    <n v="117"/>
    <n v="10677941"/>
    <x v="0"/>
    <x v="1"/>
    <x v="1"/>
  </r>
  <r>
    <x v="121"/>
    <x v="40"/>
    <n v="1392146"/>
    <n v="-94943"/>
    <n v="10349253"/>
    <x v="23"/>
    <x v="10"/>
    <n v="129"/>
    <n v="541"/>
    <n v="11741399"/>
    <x v="0"/>
    <x v="1"/>
    <x v="1"/>
  </r>
  <r>
    <x v="122"/>
    <x v="72"/>
    <n v="1390532"/>
    <n v="-5054"/>
    <n v="8860680"/>
    <x v="3"/>
    <x v="10"/>
    <n v="130"/>
    <n v="171"/>
    <n v="10251212"/>
    <x v="0"/>
    <x v="1"/>
    <x v="1"/>
  </r>
  <r>
    <x v="123"/>
    <x v="73"/>
    <n v="1389531"/>
    <n v="-110927"/>
    <n v="9497950"/>
    <x v="19"/>
    <x v="3"/>
    <n v="131"/>
    <n v="511"/>
    <n v="10887481"/>
    <x v="0"/>
    <x v="1"/>
    <x v="1"/>
  </r>
  <r>
    <x v="124"/>
    <x v="33"/>
    <n v="1389411"/>
    <n v="-12742"/>
    <n v="9202643"/>
    <x v="18"/>
    <x v="11"/>
    <n v="132"/>
    <n v="21"/>
    <n v="10592054"/>
    <x v="0"/>
    <x v="1"/>
    <x v="0"/>
  </r>
  <r>
    <x v="125"/>
    <x v="74"/>
    <n v="1380148"/>
    <n v="-55381"/>
    <n v="9480736"/>
    <x v="31"/>
    <x v="12"/>
    <n v="133"/>
    <n v="287"/>
    <n v="10860884"/>
    <x v="0"/>
    <x v="1"/>
    <x v="1"/>
  </r>
  <r>
    <x v="126"/>
    <x v="70"/>
    <n v="1379747"/>
    <n v="-223043"/>
    <n v="10359276"/>
    <x v="3"/>
    <x v="3"/>
    <n v="134"/>
    <n v="142"/>
    <n v="11739023"/>
    <x v="0"/>
    <x v="1"/>
    <x v="1"/>
  </r>
  <r>
    <x v="127"/>
    <x v="34"/>
    <n v="1377373"/>
    <n v="-100397"/>
    <n v="10001871"/>
    <x v="10"/>
    <x v="3"/>
    <n v="135"/>
    <n v="51"/>
    <n v="11379244"/>
    <x v="0"/>
    <x v="1"/>
    <x v="2"/>
  </r>
  <r>
    <x v="128"/>
    <x v="75"/>
    <n v="1368186"/>
    <n v="-94429"/>
    <n v="10515041"/>
    <x v="21"/>
    <x v="3"/>
    <n v="137"/>
    <n v="1327"/>
    <n v="11883227"/>
    <x v="0"/>
    <x v="1"/>
    <x v="1"/>
  </r>
  <r>
    <x v="129"/>
    <x v="76"/>
    <n v="1367839"/>
    <n v="-13859"/>
    <n v="8983873"/>
    <x v="32"/>
    <x v="3"/>
    <n v="138"/>
    <n v="440"/>
    <n v="10351712"/>
    <x v="0"/>
    <x v="1"/>
    <x v="1"/>
  </r>
  <r>
    <x v="130"/>
    <x v="77"/>
    <n v="1364636"/>
    <n v="-88823"/>
    <n v="10084292"/>
    <x v="33"/>
    <x v="16"/>
    <n v="139"/>
    <n v="809"/>
    <n v="11448928"/>
    <x v="0"/>
    <x v="1"/>
    <x v="1"/>
  </r>
  <r>
    <x v="131"/>
    <x v="48"/>
    <n v="1350782"/>
    <n v="-120313"/>
    <n v="9629438"/>
    <x v="24"/>
    <x v="3"/>
    <n v="140"/>
    <n v="704"/>
    <n v="10980220"/>
    <x v="0"/>
    <x v="1"/>
    <x v="1"/>
  </r>
  <r>
    <x v="132"/>
    <x v="78"/>
    <n v="1350745"/>
    <n v="-23426"/>
    <n v="7537107"/>
    <x v="9"/>
    <x v="3"/>
    <n v="141"/>
    <n v="753"/>
    <n v="8887852"/>
    <x v="0"/>
    <x v="1"/>
    <x v="1"/>
  </r>
  <r>
    <x v="133"/>
    <x v="79"/>
    <n v="1349819"/>
    <n v="-151500"/>
    <n v="10486538"/>
    <x v="34"/>
    <x v="10"/>
    <n v="142"/>
    <n v="120"/>
    <n v="11836357"/>
    <x v="0"/>
    <x v="1"/>
    <x v="1"/>
  </r>
  <r>
    <x v="134"/>
    <x v="80"/>
    <n v="1349075"/>
    <n v="-126873"/>
    <n v="10424946"/>
    <x v="9"/>
    <x v="6"/>
    <n v="143"/>
    <n v="157"/>
    <n v="11774021"/>
    <x v="0"/>
    <x v="1"/>
    <x v="1"/>
  </r>
  <r>
    <x v="135"/>
    <x v="3"/>
    <n v="1348112"/>
    <n v="-57009"/>
    <n v="9770863"/>
    <x v="3"/>
    <x v="3"/>
    <n v="144"/>
    <n v="118"/>
    <n v="11118975"/>
    <x v="0"/>
    <x v="1"/>
    <x v="1"/>
  </r>
  <r>
    <x v="136"/>
    <x v="81"/>
    <n v="1345799"/>
    <n v="28946"/>
    <n v="6232525"/>
    <x v="12"/>
    <x v="6"/>
    <n v="145"/>
    <n v="1027"/>
    <n v="7578324"/>
    <x v="1"/>
    <x v="1"/>
    <x v="1"/>
  </r>
  <r>
    <x v="137"/>
    <x v="82"/>
    <n v="1342468"/>
    <n v="-53818"/>
    <n v="10132311"/>
    <x v="9"/>
    <x v="6"/>
    <n v="146"/>
    <n v="496"/>
    <n v="11474779"/>
    <x v="0"/>
    <x v="1"/>
    <x v="1"/>
  </r>
  <r>
    <x v="138"/>
    <x v="83"/>
    <n v="1335886"/>
    <n v="-100932"/>
    <n v="9154300"/>
    <x v="17"/>
    <x v="3"/>
    <n v="147"/>
    <n v="1637"/>
    <n v="10490186"/>
    <x v="0"/>
    <x v="1"/>
    <x v="1"/>
  </r>
  <r>
    <x v="139"/>
    <x v="84"/>
    <n v="1330852"/>
    <n v="24927"/>
    <n v="6218904"/>
    <x v="3"/>
    <x v="12"/>
    <n v="148"/>
    <n v="338"/>
    <n v="7549756"/>
    <x v="1"/>
    <x v="1"/>
    <x v="1"/>
  </r>
  <r>
    <x v="140"/>
    <x v="85"/>
    <n v="1326162"/>
    <n v="-38797"/>
    <n v="8914757"/>
    <x v="35"/>
    <x v="3"/>
    <n v="149"/>
    <n v="617"/>
    <n v="10240919"/>
    <x v="0"/>
    <x v="1"/>
    <x v="1"/>
  </r>
  <r>
    <x v="141"/>
    <x v="4"/>
    <n v="1326149"/>
    <n v="-90827"/>
    <n v="9468025"/>
    <x v="8"/>
    <x v="4"/>
    <n v="150"/>
    <n v="395"/>
    <n v="10794174"/>
    <x v="0"/>
    <x v="1"/>
    <x v="1"/>
  </r>
  <r>
    <x v="142"/>
    <x v="8"/>
    <n v="1311077"/>
    <n v="-73973"/>
    <n v="8934698"/>
    <x v="3"/>
    <x v="3"/>
    <n v="152"/>
    <n v="347"/>
    <n v="10245775"/>
    <x v="0"/>
    <x v="1"/>
    <x v="1"/>
  </r>
  <r>
    <x v="143"/>
    <x v="86"/>
    <n v="1306200"/>
    <n v="-28788"/>
    <n v="9226178"/>
    <x v="3"/>
    <x v="3"/>
    <n v="153"/>
    <n v="712"/>
    <n v="10532378"/>
    <x v="0"/>
    <x v="1"/>
    <x v="1"/>
  </r>
  <r>
    <x v="144"/>
    <x v="16"/>
    <n v="1296957"/>
    <n v="-1727"/>
    <n v="5009467"/>
    <x v="3"/>
    <x v="3"/>
    <n v="154"/>
    <n v="503"/>
    <n v="6306424"/>
    <x v="0"/>
    <x v="1"/>
    <x v="1"/>
  </r>
  <r>
    <x v="145"/>
    <x v="55"/>
    <n v="1296297"/>
    <n v="19803"/>
    <n v="8708123"/>
    <x v="10"/>
    <x v="11"/>
    <n v="155"/>
    <n v="284"/>
    <n v="10004420"/>
    <x v="1"/>
    <x v="1"/>
    <x v="1"/>
  </r>
  <r>
    <x v="146"/>
    <x v="87"/>
    <n v="1294677"/>
    <n v="-8737"/>
    <n v="9158699"/>
    <x v="23"/>
    <x v="3"/>
    <n v="156"/>
    <n v="773"/>
    <n v="10453376"/>
    <x v="0"/>
    <x v="1"/>
    <x v="1"/>
  </r>
  <r>
    <x v="147"/>
    <x v="12"/>
    <n v="1294001"/>
    <n v="-190275"/>
    <n v="11338844"/>
    <x v="3"/>
    <x v="2"/>
    <n v="157"/>
    <n v="16"/>
    <n v="12632845"/>
    <x v="0"/>
    <x v="1"/>
    <x v="0"/>
  </r>
  <r>
    <x v="148"/>
    <x v="70"/>
    <n v="1292535"/>
    <n v="-110188"/>
    <n v="7904030"/>
    <x v="3"/>
    <x v="3"/>
    <n v="158"/>
    <n v="823"/>
    <n v="9196565"/>
    <x v="0"/>
    <x v="1"/>
    <x v="1"/>
  </r>
  <r>
    <x v="149"/>
    <x v="88"/>
    <n v="1290404"/>
    <n v="5746"/>
    <n v="3835428"/>
    <x v="11"/>
    <x v="3"/>
    <n v="159"/>
    <n v="63"/>
    <n v="5125832"/>
    <x v="1"/>
    <x v="1"/>
    <x v="2"/>
  </r>
  <r>
    <x v="150"/>
    <x v="89"/>
    <n v="1286520"/>
    <n v="-64148"/>
    <n v="8821556"/>
    <x v="36"/>
    <x v="6"/>
    <n v="160"/>
    <n v="884"/>
    <n v="10108076"/>
    <x v="0"/>
    <x v="1"/>
    <x v="1"/>
  </r>
  <r>
    <x v="151"/>
    <x v="90"/>
    <n v="1283948"/>
    <n v="40456"/>
    <n v="6149401"/>
    <x v="3"/>
    <x v="17"/>
    <n v="161"/>
    <n v="620"/>
    <n v="7433349"/>
    <x v="1"/>
    <x v="1"/>
    <x v="1"/>
  </r>
  <r>
    <x v="152"/>
    <x v="91"/>
    <n v="1282248"/>
    <n v="-87604"/>
    <n v="8781747"/>
    <x v="17"/>
    <x v="3"/>
    <n v="163"/>
    <n v="1211"/>
    <n v="10063995"/>
    <x v="0"/>
    <x v="1"/>
    <x v="1"/>
  </r>
  <r>
    <x v="153"/>
    <x v="92"/>
    <n v="1281664"/>
    <n v="-20169"/>
    <n v="8990092"/>
    <x v="3"/>
    <x v="10"/>
    <n v="164"/>
    <n v="252"/>
    <n v="10271756"/>
    <x v="0"/>
    <x v="1"/>
    <x v="1"/>
  </r>
  <r>
    <x v="154"/>
    <x v="93"/>
    <n v="1281251"/>
    <n v="-6790"/>
    <n v="5025791"/>
    <x v="3"/>
    <x v="3"/>
    <n v="165"/>
    <n v="2292"/>
    <n v="6307042"/>
    <x v="0"/>
    <x v="1"/>
    <x v="1"/>
  </r>
  <r>
    <x v="155"/>
    <x v="94"/>
    <n v="1279646"/>
    <n v="-21334"/>
    <n v="4937908"/>
    <x v="3"/>
    <x v="18"/>
    <n v="167"/>
    <n v="14"/>
    <n v="6217554"/>
    <x v="0"/>
    <x v="1"/>
    <x v="0"/>
  </r>
  <r>
    <x v="156"/>
    <x v="95"/>
    <n v="1275766"/>
    <n v="-114450"/>
    <n v="9103531"/>
    <x v="11"/>
    <x v="3"/>
    <n v="169"/>
    <n v="20"/>
    <n v="10379297"/>
    <x v="0"/>
    <x v="1"/>
    <x v="0"/>
  </r>
  <r>
    <x v="157"/>
    <x v="15"/>
    <n v="1275472"/>
    <n v="-64590"/>
    <n v="8736190"/>
    <x v="3"/>
    <x v="3"/>
    <n v="170"/>
    <n v="389"/>
    <n v="10011662"/>
    <x v="0"/>
    <x v="1"/>
    <x v="1"/>
  </r>
  <r>
    <x v="158"/>
    <x v="8"/>
    <n v="1268541"/>
    <n v="9198"/>
    <n v="2527884"/>
    <x v="3"/>
    <x v="3"/>
    <n v="172"/>
    <n v="1014"/>
    <n v="3796425"/>
    <x v="1"/>
    <x v="1"/>
    <x v="1"/>
  </r>
  <r>
    <x v="159"/>
    <x v="96"/>
    <n v="1263767"/>
    <n v="15843"/>
    <n v="6006104"/>
    <x v="12"/>
    <x v="6"/>
    <n v="173"/>
    <n v="53"/>
    <n v="7269871"/>
    <x v="1"/>
    <x v="1"/>
    <x v="2"/>
  </r>
  <r>
    <x v="160"/>
    <x v="46"/>
    <n v="1260494"/>
    <n v="-89450"/>
    <n v="9151667"/>
    <x v="17"/>
    <x v="3"/>
    <n v="175"/>
    <n v="483"/>
    <n v="10412161"/>
    <x v="0"/>
    <x v="1"/>
    <x v="1"/>
  </r>
  <r>
    <x v="161"/>
    <x v="97"/>
    <n v="1259173"/>
    <n v="-27420"/>
    <n v="8754899"/>
    <x v="6"/>
    <x v="3"/>
    <n v="176"/>
    <n v="80"/>
    <n v="10014072"/>
    <x v="0"/>
    <x v="1"/>
    <x v="2"/>
  </r>
  <r>
    <x v="162"/>
    <x v="70"/>
    <n v="1257351"/>
    <n v="-87753"/>
    <n v="7352626"/>
    <x v="3"/>
    <x v="3"/>
    <n v="177"/>
    <n v="30"/>
    <n v="8609977"/>
    <x v="0"/>
    <x v="1"/>
    <x v="0"/>
  </r>
  <r>
    <x v="163"/>
    <x v="34"/>
    <n v="1254541"/>
    <n v="-53350"/>
    <n v="9273774"/>
    <x v="10"/>
    <x v="3"/>
    <n v="178"/>
    <n v="454"/>
    <n v="10528315"/>
    <x v="0"/>
    <x v="1"/>
    <x v="1"/>
  </r>
  <r>
    <x v="164"/>
    <x v="98"/>
    <n v="1251765"/>
    <n v="-19664"/>
    <n v="2523194"/>
    <x v="3"/>
    <x v="3"/>
    <n v="179"/>
    <n v="99"/>
    <n v="3774959"/>
    <x v="0"/>
    <x v="1"/>
    <x v="2"/>
  </r>
  <r>
    <x v="165"/>
    <x v="99"/>
    <n v="1245007"/>
    <n v="-77995"/>
    <n v="9035434"/>
    <x v="37"/>
    <x v="10"/>
    <n v="181"/>
    <n v="270"/>
    <n v="10280441"/>
    <x v="0"/>
    <x v="1"/>
    <x v="1"/>
  </r>
  <r>
    <x v="166"/>
    <x v="100"/>
    <n v="1241168"/>
    <n v="-39451"/>
    <n v="8480893"/>
    <x v="3"/>
    <x v="6"/>
    <n v="185"/>
    <n v="244"/>
    <n v="9722061"/>
    <x v="0"/>
    <x v="1"/>
    <x v="1"/>
  </r>
  <r>
    <x v="167"/>
    <x v="101"/>
    <n v="1239884"/>
    <n v="-37552"/>
    <n v="4891917"/>
    <x v="17"/>
    <x v="3"/>
    <n v="187"/>
    <n v="791"/>
    <n v="6131801"/>
    <x v="0"/>
    <x v="1"/>
    <x v="1"/>
  </r>
  <r>
    <x v="168"/>
    <x v="102"/>
    <n v="1237223"/>
    <n v="-11727"/>
    <n v="4787172"/>
    <x v="17"/>
    <x v="3"/>
    <n v="188"/>
    <n v="5"/>
    <n v="6024395"/>
    <x v="0"/>
    <x v="1"/>
    <x v="0"/>
  </r>
  <r>
    <x v="169"/>
    <x v="61"/>
    <n v="1227709"/>
    <n v="-74196"/>
    <n v="8956978"/>
    <x v="3"/>
    <x v="6"/>
    <n v="190"/>
    <n v="3070"/>
    <n v="10184687"/>
    <x v="0"/>
    <x v="1"/>
    <x v="1"/>
  </r>
  <r>
    <x v="170"/>
    <x v="103"/>
    <n v="1227362"/>
    <n v="-104470"/>
    <n v="7508206"/>
    <x v="7"/>
    <x v="3"/>
    <n v="191"/>
    <n v="1093"/>
    <n v="8735568"/>
    <x v="0"/>
    <x v="1"/>
    <x v="1"/>
  </r>
  <r>
    <x v="171"/>
    <x v="66"/>
    <n v="1224750"/>
    <n v="-89453"/>
    <n v="6372663"/>
    <x v="30"/>
    <x v="3"/>
    <n v="192"/>
    <n v="153"/>
    <n v="7597413"/>
    <x v="0"/>
    <x v="1"/>
    <x v="1"/>
  </r>
  <r>
    <x v="172"/>
    <x v="70"/>
    <n v="1224675"/>
    <n v="-24245"/>
    <n v="8638532"/>
    <x v="3"/>
    <x v="3"/>
    <n v="193"/>
    <n v="346"/>
    <n v="9863207"/>
    <x v="0"/>
    <x v="1"/>
    <x v="1"/>
  </r>
  <r>
    <x v="173"/>
    <x v="35"/>
    <n v="1210598"/>
    <n v="-79537"/>
    <n v="8817306"/>
    <x v="9"/>
    <x v="6"/>
    <n v="196"/>
    <n v="205"/>
    <n v="10027904"/>
    <x v="0"/>
    <x v="1"/>
    <x v="1"/>
  </r>
  <r>
    <x v="174"/>
    <x v="70"/>
    <n v="1203160"/>
    <n v="-69820"/>
    <n v="7439269"/>
    <x v="38"/>
    <x v="3"/>
    <n v="197"/>
    <n v="352"/>
    <n v="8642429"/>
    <x v="0"/>
    <x v="1"/>
    <x v="1"/>
  </r>
  <r>
    <x v="175"/>
    <x v="12"/>
    <n v="1198929"/>
    <n v="-121566"/>
    <n v="3816744"/>
    <x v="3"/>
    <x v="2"/>
    <n v="198"/>
    <n v="331"/>
    <n v="5015673"/>
    <x v="0"/>
    <x v="1"/>
    <x v="1"/>
  </r>
  <r>
    <x v="176"/>
    <x v="92"/>
    <n v="1192146"/>
    <n v="-86760"/>
    <n v="7346804"/>
    <x v="3"/>
    <x v="10"/>
    <n v="199"/>
    <n v="767"/>
    <n v="8538950"/>
    <x v="0"/>
    <x v="1"/>
    <x v="1"/>
  </r>
  <r>
    <x v="177"/>
    <x v="0"/>
    <n v="1191777"/>
    <n v="-76127"/>
    <n v="8979038"/>
    <x v="0"/>
    <x v="0"/>
    <n v="200"/>
    <n v="207"/>
    <n v="10170815"/>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109402-85E3-44C0-AC97-0179465B57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3">
    <pivotField showAll="0"/>
    <pivotField axis="axisRow" showAll="0" measureFilter="1">
      <items count="105">
        <item x="69"/>
        <item x="94"/>
        <item x="32"/>
        <item x="38"/>
        <item x="4"/>
        <item x="74"/>
        <item x="13"/>
        <item x="27"/>
        <item x="18"/>
        <item x="6"/>
        <item x="0"/>
        <item x="52"/>
        <item x="37"/>
        <item x="101"/>
        <item x="63"/>
        <item x="79"/>
        <item x="85"/>
        <item x="7"/>
        <item x="65"/>
        <item x="77"/>
        <item x="5"/>
        <item x="1"/>
        <item x="49"/>
        <item x="34"/>
        <item x="29"/>
        <item x="61"/>
        <item x="23"/>
        <item x="83"/>
        <item x="53"/>
        <item x="71"/>
        <item x="35"/>
        <item x="55"/>
        <item x="26"/>
        <item x="45"/>
        <item x="62"/>
        <item x="76"/>
        <item x="12"/>
        <item x="60"/>
        <item x="87"/>
        <item x="90"/>
        <item x="43"/>
        <item x="39"/>
        <item x="54"/>
        <item x="92"/>
        <item x="100"/>
        <item x="58"/>
        <item x="36"/>
        <item x="98"/>
        <item x="64"/>
        <item x="46"/>
        <item x="88"/>
        <item x="15"/>
        <item x="103"/>
        <item x="56"/>
        <item x="102"/>
        <item x="97"/>
        <item x="48"/>
        <item x="75"/>
        <item x="91"/>
        <item x="86"/>
        <item x="57"/>
        <item x="72"/>
        <item x="59"/>
        <item x="66"/>
        <item x="67"/>
        <item x="89"/>
        <item x="3"/>
        <item x="68"/>
        <item x="33"/>
        <item x="2"/>
        <item x="73"/>
        <item x="93"/>
        <item x="31"/>
        <item x="44"/>
        <item x="17"/>
        <item x="11"/>
        <item x="95"/>
        <item x="70"/>
        <item x="51"/>
        <item x="16"/>
        <item x="30"/>
        <item x="25"/>
        <item x="84"/>
        <item x="24"/>
        <item x="19"/>
        <item x="9"/>
        <item x="21"/>
        <item x="99"/>
        <item x="8"/>
        <item x="81"/>
        <item x="41"/>
        <item x="96"/>
        <item x="14"/>
        <item x="22"/>
        <item x="82"/>
        <item x="28"/>
        <item x="20"/>
        <item x="80"/>
        <item x="40"/>
        <item x="78"/>
        <item x="47"/>
        <item x="42"/>
        <item x="50"/>
        <item x="10"/>
        <item t="default"/>
      </items>
    </pivotField>
    <pivotField dataField="1" showAll="0"/>
    <pivotField showAll="0"/>
    <pivotField showAll="0"/>
    <pivotField showAll="0">
      <items count="40">
        <item x="1"/>
        <item x="11"/>
        <item x="10"/>
        <item x="36"/>
        <item x="22"/>
        <item x="14"/>
        <item x="33"/>
        <item x="15"/>
        <item x="19"/>
        <item x="37"/>
        <item x="16"/>
        <item x="25"/>
        <item x="27"/>
        <item x="20"/>
        <item x="30"/>
        <item x="32"/>
        <item x="17"/>
        <item x="7"/>
        <item x="21"/>
        <item x="0"/>
        <item x="31"/>
        <item x="12"/>
        <item x="24"/>
        <item x="5"/>
        <item x="3"/>
        <item x="26"/>
        <item x="13"/>
        <item x="23"/>
        <item x="6"/>
        <item x="8"/>
        <item x="18"/>
        <item x="9"/>
        <item x="38"/>
        <item x="35"/>
        <item x="29"/>
        <item x="28"/>
        <item x="4"/>
        <item x="34"/>
        <item x="2"/>
        <item t="default"/>
      </items>
    </pivotField>
    <pivotField showAll="0">
      <items count="20">
        <item x="7"/>
        <item x="10"/>
        <item x="12"/>
        <item x="14"/>
        <item x="2"/>
        <item x="1"/>
        <item x="16"/>
        <item x="6"/>
        <item x="17"/>
        <item x="9"/>
        <item x="8"/>
        <item x="13"/>
        <item x="0"/>
        <item x="15"/>
        <item x="11"/>
        <item x="18"/>
        <item x="4"/>
        <item x="5"/>
        <item x="3"/>
        <item t="default"/>
      </items>
    </pivotField>
    <pivotField showAll="0"/>
    <pivotField showAll="0"/>
    <pivotField showAll="0"/>
    <pivotField showAll="0">
      <items count="3">
        <item x="0"/>
        <item x="1"/>
        <item t="default"/>
      </items>
    </pivotField>
    <pivotField showAll="0"/>
    <pivotField showAll="0"/>
  </pivotFields>
  <rowFields count="1">
    <field x="1"/>
  </rowFields>
  <rowItems count="11">
    <i>
      <x v="4"/>
    </i>
    <i>
      <x v="9"/>
    </i>
    <i>
      <x v="10"/>
    </i>
    <i>
      <x v="21"/>
    </i>
    <i>
      <x v="36"/>
    </i>
    <i>
      <x v="66"/>
    </i>
    <i>
      <x v="68"/>
    </i>
    <i>
      <x v="77"/>
    </i>
    <i>
      <x v="85"/>
    </i>
    <i>
      <x v="88"/>
    </i>
    <i t="grand">
      <x/>
    </i>
  </rowItems>
  <colItems count="1">
    <i/>
  </colItems>
  <dataFields count="1">
    <dataField name="Sum of streams" fld="2" baseField="0"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0C074D-F722-4243-AC6D-C71F65D40A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13">
    <pivotField axis="axisRow" showAll="0" measureFilter="1">
      <items count="179">
        <item x="63"/>
        <item x="47"/>
        <item x="42"/>
        <item x="8"/>
        <item x="89"/>
        <item x="111"/>
        <item x="135"/>
        <item x="132"/>
        <item x="7"/>
        <item x="76"/>
        <item x="28"/>
        <item x="81"/>
        <item x="86"/>
        <item x="2"/>
        <item x="23"/>
        <item x="24"/>
        <item x="50"/>
        <item x="94"/>
        <item x="38"/>
        <item x="110"/>
        <item x="127"/>
        <item x="1"/>
        <item x="159"/>
        <item x="172"/>
        <item x="119"/>
        <item x="152"/>
        <item x="156"/>
        <item x="124"/>
        <item x="45"/>
        <item x="171"/>
        <item x="114"/>
        <item x="105"/>
        <item x="116"/>
        <item x="54"/>
        <item x="158"/>
        <item x="153"/>
        <item x="68"/>
        <item x="80"/>
        <item x="39"/>
        <item x="32"/>
        <item x="120"/>
        <item x="57"/>
        <item x="60"/>
        <item x="41"/>
        <item x="61"/>
        <item x="13"/>
        <item x="58"/>
        <item x="14"/>
        <item x="36"/>
        <item x="44"/>
        <item x="40"/>
        <item x="136"/>
        <item x="117"/>
        <item x="75"/>
        <item x="56"/>
        <item x="166"/>
        <item x="4"/>
        <item x="62"/>
        <item x="167"/>
        <item x="123"/>
        <item x="84"/>
        <item x="103"/>
        <item x="139"/>
        <item x="48"/>
        <item x="3"/>
        <item x="30"/>
        <item x="46"/>
        <item x="65"/>
        <item x="29"/>
        <item x="78"/>
        <item x="21"/>
        <item x="31"/>
        <item x="165"/>
        <item x="113"/>
        <item x="126"/>
        <item x="73"/>
        <item x="82"/>
        <item x="83"/>
        <item x="164"/>
        <item x="130"/>
        <item x="177"/>
        <item x="9"/>
        <item x="64"/>
        <item x="70"/>
        <item x="35"/>
        <item x="174"/>
        <item x="25"/>
        <item x="160"/>
        <item x="12"/>
        <item x="33"/>
        <item x="91"/>
        <item x="140"/>
        <item x="10"/>
        <item x="101"/>
        <item x="43"/>
        <item x="115"/>
        <item x="137"/>
        <item x="163"/>
        <item x="125"/>
        <item x="20"/>
        <item x="5"/>
        <item x="27"/>
        <item x="131"/>
        <item x="168"/>
        <item x="52"/>
        <item x="16"/>
        <item x="79"/>
        <item x="118"/>
        <item x="55"/>
        <item x="143"/>
        <item x="169"/>
        <item x="18"/>
        <item x="144"/>
        <item x="157"/>
        <item x="112"/>
        <item x="122"/>
        <item x="96"/>
        <item x="74"/>
        <item x="19"/>
        <item x="147"/>
        <item x="53"/>
        <item x="71"/>
        <item x="15"/>
        <item x="162"/>
        <item x="49"/>
        <item x="77"/>
        <item x="90"/>
        <item x="149"/>
        <item x="99"/>
        <item x="146"/>
        <item x="95"/>
        <item x="175"/>
        <item x="109"/>
        <item x="17"/>
        <item x="106"/>
        <item x="176"/>
        <item x="104"/>
        <item x="69"/>
        <item x="6"/>
        <item x="142"/>
        <item x="170"/>
        <item x="154"/>
        <item x="51"/>
        <item x="129"/>
        <item x="0"/>
        <item x="155"/>
        <item x="107"/>
        <item x="100"/>
        <item x="59"/>
        <item x="173"/>
        <item x="22"/>
        <item x="88"/>
        <item x="134"/>
        <item x="128"/>
        <item x="93"/>
        <item x="11"/>
        <item x="121"/>
        <item x="34"/>
        <item x="92"/>
        <item x="151"/>
        <item x="145"/>
        <item x="98"/>
        <item x="141"/>
        <item x="85"/>
        <item x="67"/>
        <item x="87"/>
        <item x="148"/>
        <item x="161"/>
        <item x="102"/>
        <item x="26"/>
        <item x="37"/>
        <item x="66"/>
        <item x="133"/>
        <item x="72"/>
        <item x="138"/>
        <item x="150"/>
        <item x="97"/>
        <item x="108"/>
        <item t="default"/>
      </items>
    </pivotField>
    <pivotField showAll="0">
      <items count="105">
        <item x="69"/>
        <item x="94"/>
        <item x="32"/>
        <item x="38"/>
        <item x="4"/>
        <item x="74"/>
        <item x="13"/>
        <item x="27"/>
        <item x="18"/>
        <item x="6"/>
        <item x="0"/>
        <item x="52"/>
        <item x="37"/>
        <item x="101"/>
        <item x="63"/>
        <item x="79"/>
        <item x="85"/>
        <item x="7"/>
        <item x="65"/>
        <item x="77"/>
        <item x="5"/>
        <item x="1"/>
        <item x="49"/>
        <item x="34"/>
        <item x="29"/>
        <item x="61"/>
        <item x="23"/>
        <item x="83"/>
        <item x="53"/>
        <item x="71"/>
        <item x="35"/>
        <item x="55"/>
        <item x="26"/>
        <item x="45"/>
        <item x="62"/>
        <item x="76"/>
        <item x="12"/>
        <item x="60"/>
        <item x="87"/>
        <item x="90"/>
        <item x="43"/>
        <item x="39"/>
        <item x="54"/>
        <item x="92"/>
        <item x="100"/>
        <item x="58"/>
        <item x="36"/>
        <item x="98"/>
        <item x="64"/>
        <item x="46"/>
        <item x="88"/>
        <item x="15"/>
        <item x="103"/>
        <item x="56"/>
        <item x="102"/>
        <item x="97"/>
        <item x="48"/>
        <item x="75"/>
        <item x="91"/>
        <item x="86"/>
        <item x="57"/>
        <item x="72"/>
        <item x="59"/>
        <item x="66"/>
        <item x="67"/>
        <item x="89"/>
        <item x="3"/>
        <item x="68"/>
        <item x="33"/>
        <item x="2"/>
        <item x="73"/>
        <item x="93"/>
        <item x="31"/>
        <item x="44"/>
        <item x="17"/>
        <item x="11"/>
        <item x="95"/>
        <item x="70"/>
        <item x="51"/>
        <item x="16"/>
        <item x="30"/>
        <item x="25"/>
        <item x="84"/>
        <item x="24"/>
        <item x="19"/>
        <item x="9"/>
        <item x="21"/>
        <item x="99"/>
        <item x="8"/>
        <item x="81"/>
        <item x="41"/>
        <item x="96"/>
        <item x="14"/>
        <item x="22"/>
        <item x="82"/>
        <item x="28"/>
        <item x="20"/>
        <item x="80"/>
        <item x="40"/>
        <item x="78"/>
        <item x="47"/>
        <item x="42"/>
        <item x="50"/>
        <item x="10"/>
        <item t="default"/>
      </items>
    </pivotField>
    <pivotField dataField="1" showAll="0"/>
    <pivotField showAll="0"/>
    <pivotField showAll="0"/>
    <pivotField showAll="0">
      <items count="40">
        <item x="1"/>
        <item x="11"/>
        <item x="10"/>
        <item x="36"/>
        <item x="22"/>
        <item x="14"/>
        <item x="33"/>
        <item x="15"/>
        <item x="19"/>
        <item x="37"/>
        <item x="16"/>
        <item x="25"/>
        <item x="27"/>
        <item x="20"/>
        <item x="30"/>
        <item x="32"/>
        <item x="17"/>
        <item x="7"/>
        <item x="21"/>
        <item x="0"/>
        <item x="31"/>
        <item x="12"/>
        <item x="24"/>
        <item x="5"/>
        <item x="3"/>
        <item x="26"/>
        <item x="13"/>
        <item x="23"/>
        <item x="6"/>
        <item x="8"/>
        <item x="18"/>
        <item x="9"/>
        <item x="38"/>
        <item x="35"/>
        <item x="29"/>
        <item x="28"/>
        <item x="4"/>
        <item x="34"/>
        <item x="2"/>
        <item t="default"/>
      </items>
    </pivotField>
    <pivotField showAll="0">
      <items count="20">
        <item x="7"/>
        <item x="10"/>
        <item x="12"/>
        <item x="14"/>
        <item x="2"/>
        <item x="1"/>
        <item x="16"/>
        <item x="6"/>
        <item x="17"/>
        <item x="9"/>
        <item x="8"/>
        <item x="13"/>
        <item x="0"/>
        <item x="15"/>
        <item x="11"/>
        <item x="18"/>
        <item x="4"/>
        <item x="5"/>
        <item x="3"/>
        <item t="default"/>
      </items>
    </pivotField>
    <pivotField showAll="0"/>
    <pivotField showAll="0"/>
    <pivotField showAll="0"/>
    <pivotField showAll="0">
      <items count="3">
        <item x="0"/>
        <item x="1"/>
        <item t="default"/>
      </items>
    </pivotField>
    <pivotField showAll="0"/>
    <pivotField showAll="0"/>
  </pivotFields>
  <rowFields count="1">
    <field x="0"/>
  </rowFields>
  <rowItems count="11">
    <i>
      <x v="3"/>
    </i>
    <i>
      <x v="8"/>
    </i>
    <i>
      <x v="13"/>
    </i>
    <i>
      <x v="21"/>
    </i>
    <i>
      <x v="56"/>
    </i>
    <i>
      <x v="64"/>
    </i>
    <i>
      <x v="81"/>
    </i>
    <i>
      <x v="100"/>
    </i>
    <i>
      <x v="138"/>
    </i>
    <i>
      <x v="144"/>
    </i>
    <i t="grand">
      <x/>
    </i>
  </rowItems>
  <colItems count="1">
    <i/>
  </colItems>
  <dataFields count="1">
    <dataField name="Sum of streams" fld="2" baseField="0" baseItem="0"/>
  </dataFields>
  <chartFormats count="5">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AC8584-A4C2-4C76-8E59-C6070096F3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3">
    <pivotField showAll="0"/>
    <pivotField showAll="0">
      <items count="105">
        <item x="69"/>
        <item x="94"/>
        <item x="32"/>
        <item x="38"/>
        <item x="4"/>
        <item x="74"/>
        <item x="13"/>
        <item x="27"/>
        <item x="18"/>
        <item x="6"/>
        <item x="0"/>
        <item x="52"/>
        <item x="37"/>
        <item x="101"/>
        <item x="63"/>
        <item x="79"/>
        <item x="85"/>
        <item x="7"/>
        <item x="65"/>
        <item x="77"/>
        <item x="5"/>
        <item x="1"/>
        <item x="49"/>
        <item x="34"/>
        <item x="29"/>
        <item x="61"/>
        <item x="23"/>
        <item x="83"/>
        <item x="53"/>
        <item x="71"/>
        <item x="35"/>
        <item x="55"/>
        <item x="26"/>
        <item x="45"/>
        <item x="62"/>
        <item x="76"/>
        <item x="12"/>
        <item x="60"/>
        <item x="87"/>
        <item x="90"/>
        <item x="43"/>
        <item x="39"/>
        <item x="54"/>
        <item x="92"/>
        <item x="100"/>
        <item x="58"/>
        <item x="36"/>
        <item x="98"/>
        <item x="64"/>
        <item x="46"/>
        <item x="88"/>
        <item x="15"/>
        <item x="103"/>
        <item x="56"/>
        <item x="102"/>
        <item x="97"/>
        <item x="48"/>
        <item x="75"/>
        <item x="91"/>
        <item x="86"/>
        <item x="57"/>
        <item x="72"/>
        <item x="59"/>
        <item x="66"/>
        <item x="67"/>
        <item x="89"/>
        <item x="3"/>
        <item x="68"/>
        <item x="33"/>
        <item x="2"/>
        <item x="73"/>
        <item x="93"/>
        <item x="31"/>
        <item x="44"/>
        <item x="17"/>
        <item x="11"/>
        <item x="95"/>
        <item x="70"/>
        <item x="51"/>
        <item x="16"/>
        <item x="30"/>
        <item x="25"/>
        <item x="84"/>
        <item x="24"/>
        <item x="19"/>
        <item x="9"/>
        <item x="21"/>
        <item x="99"/>
        <item x="8"/>
        <item x="81"/>
        <item x="41"/>
        <item x="96"/>
        <item x="14"/>
        <item x="22"/>
        <item x="82"/>
        <item x="28"/>
        <item x="20"/>
        <item x="80"/>
        <item x="40"/>
        <item x="78"/>
        <item x="47"/>
        <item x="42"/>
        <item x="50"/>
        <item x="10"/>
        <item t="default"/>
      </items>
    </pivotField>
    <pivotField dataField="1" showAll="0"/>
    <pivotField showAll="0"/>
    <pivotField showAll="0"/>
    <pivotField axis="axisRow" showAll="0" measureFilter="1">
      <items count="40">
        <item x="1"/>
        <item x="11"/>
        <item x="10"/>
        <item x="36"/>
        <item x="22"/>
        <item x="14"/>
        <item x="33"/>
        <item x="15"/>
        <item x="19"/>
        <item x="37"/>
        <item x="16"/>
        <item x="25"/>
        <item x="27"/>
        <item x="20"/>
        <item x="30"/>
        <item x="32"/>
        <item x="17"/>
        <item x="7"/>
        <item x="21"/>
        <item x="0"/>
        <item x="31"/>
        <item x="12"/>
        <item x="24"/>
        <item x="5"/>
        <item x="3"/>
        <item x="26"/>
        <item x="13"/>
        <item x="23"/>
        <item x="6"/>
        <item x="8"/>
        <item x="18"/>
        <item x="9"/>
        <item x="38"/>
        <item x="35"/>
        <item x="29"/>
        <item x="28"/>
        <item x="4"/>
        <item x="34"/>
        <item x="2"/>
        <item t="default"/>
      </items>
    </pivotField>
    <pivotField showAll="0">
      <items count="20">
        <item x="7"/>
        <item x="10"/>
        <item x="12"/>
        <item x="14"/>
        <item x="2"/>
        <item x="1"/>
        <item x="16"/>
        <item x="6"/>
        <item x="17"/>
        <item x="9"/>
        <item x="8"/>
        <item x="13"/>
        <item x="0"/>
        <item x="15"/>
        <item x="11"/>
        <item x="18"/>
        <item x="4"/>
        <item x="5"/>
        <item x="3"/>
        <item t="default"/>
      </items>
    </pivotField>
    <pivotField showAll="0"/>
    <pivotField showAll="0"/>
    <pivotField showAll="0"/>
    <pivotField showAll="0">
      <items count="3">
        <item x="0"/>
        <item x="1"/>
        <item t="default"/>
      </items>
    </pivotField>
    <pivotField showAll="0"/>
    <pivotField showAll="0"/>
  </pivotFields>
  <rowFields count="1">
    <field x="5"/>
  </rowFields>
  <rowItems count="11">
    <i>
      <x/>
    </i>
    <i>
      <x v="1"/>
    </i>
    <i>
      <x v="2"/>
    </i>
    <i>
      <x v="16"/>
    </i>
    <i>
      <x v="17"/>
    </i>
    <i>
      <x v="19"/>
    </i>
    <i>
      <x v="24"/>
    </i>
    <i>
      <x v="29"/>
    </i>
    <i>
      <x v="30"/>
    </i>
    <i>
      <x v="31"/>
    </i>
    <i t="grand">
      <x/>
    </i>
  </rowItems>
  <colItems count="1">
    <i/>
  </colItems>
  <dataFields count="1">
    <dataField name="Sum of streams" fld="2" baseField="0" baseItem="0"/>
  </dataFields>
  <chartFormats count="9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9"/>
          </reference>
        </references>
      </pivotArea>
    </chartFormat>
    <chartFormat chart="0" format="2">
      <pivotArea type="data" outline="0" fieldPosition="0">
        <references count="2">
          <reference field="4294967294" count="1" selected="0">
            <x v="0"/>
          </reference>
          <reference field="5" count="1" selected="0">
            <x v="24"/>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16"/>
          </reference>
        </references>
      </pivotArea>
    </chartFormat>
    <chartFormat chart="0" format="6">
      <pivotArea type="data" outline="0" fieldPosition="0">
        <references count="2">
          <reference field="4294967294" count="1" selected="0">
            <x v="0"/>
          </reference>
          <reference field="5" count="1" selected="0">
            <x v="17"/>
          </reference>
        </references>
      </pivotArea>
    </chartFormat>
    <chartFormat chart="0" format="7">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0"/>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pivotArea type="data" outline="0" fieldPosition="0">
        <references count="2">
          <reference field="4294967294" count="1" selected="0">
            <x v="0"/>
          </reference>
          <reference field="5" count="1" selected="0">
            <x v="2"/>
          </reference>
        </references>
      </pivotArea>
    </chartFormat>
    <chartFormat chart="7" format="12">
      <pivotArea type="data" outline="0" fieldPosition="0">
        <references count="2">
          <reference field="4294967294" count="1" selected="0">
            <x v="0"/>
          </reference>
          <reference field="5" count="1" selected="0">
            <x v="16"/>
          </reference>
        </references>
      </pivotArea>
    </chartFormat>
    <chartFormat chart="7" format="13">
      <pivotArea type="data" outline="0" fieldPosition="0">
        <references count="2">
          <reference field="4294967294" count="1" selected="0">
            <x v="0"/>
          </reference>
          <reference field="5" count="1" selected="0">
            <x v="17"/>
          </reference>
        </references>
      </pivotArea>
    </chartFormat>
    <chartFormat chart="7" format="14">
      <pivotArea type="data" outline="0" fieldPosition="0">
        <references count="2">
          <reference field="4294967294" count="1" selected="0">
            <x v="0"/>
          </reference>
          <reference field="5" count="1" selected="0">
            <x v="19"/>
          </reference>
        </references>
      </pivotArea>
    </chartFormat>
    <chartFormat chart="7" format="15">
      <pivotArea type="data" outline="0" fieldPosition="0">
        <references count="2">
          <reference field="4294967294" count="1" selected="0">
            <x v="0"/>
          </reference>
          <reference field="5" count="1" selected="0">
            <x v="24"/>
          </reference>
        </references>
      </pivotArea>
    </chartFormat>
    <chartFormat chart="7" format="16">
      <pivotArea type="data" outline="0" fieldPosition="0">
        <references count="2">
          <reference field="4294967294" count="1" selected="0">
            <x v="0"/>
          </reference>
          <reference field="5" count="1" selected="0">
            <x v="29"/>
          </reference>
        </references>
      </pivotArea>
    </chartFormat>
    <chartFormat chart="7" format="17">
      <pivotArea type="data" outline="0" fieldPosition="0">
        <references count="2">
          <reference field="4294967294" count="1" selected="0">
            <x v="0"/>
          </reference>
          <reference field="5" count="1" selected="0">
            <x v="30"/>
          </reference>
        </references>
      </pivotArea>
    </chartFormat>
    <chartFormat chart="7" format="18">
      <pivotArea type="data" outline="0" fieldPosition="0">
        <references count="2">
          <reference field="4294967294" count="1" selected="0">
            <x v="0"/>
          </reference>
          <reference field="5" count="1" selected="0">
            <x v="31"/>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5" count="1" selected="0">
            <x v="0"/>
          </reference>
        </references>
      </pivotArea>
    </chartFormat>
    <chartFormat chart="12" format="21">
      <pivotArea type="data" outline="0" fieldPosition="0">
        <references count="2">
          <reference field="4294967294" count="1" selected="0">
            <x v="0"/>
          </reference>
          <reference field="5" count="1" selected="0">
            <x v="1"/>
          </reference>
        </references>
      </pivotArea>
    </chartFormat>
    <chartFormat chart="12" format="22">
      <pivotArea type="data" outline="0" fieldPosition="0">
        <references count="2">
          <reference field="4294967294" count="1" selected="0">
            <x v="0"/>
          </reference>
          <reference field="5" count="1" selected="0">
            <x v="2"/>
          </reference>
        </references>
      </pivotArea>
    </chartFormat>
    <chartFormat chart="12" format="23">
      <pivotArea type="data" outline="0" fieldPosition="0">
        <references count="2">
          <reference field="4294967294" count="1" selected="0">
            <x v="0"/>
          </reference>
          <reference field="5" count="1" selected="0">
            <x v="16"/>
          </reference>
        </references>
      </pivotArea>
    </chartFormat>
    <chartFormat chart="12" format="24">
      <pivotArea type="data" outline="0" fieldPosition="0">
        <references count="2">
          <reference field="4294967294" count="1" selected="0">
            <x v="0"/>
          </reference>
          <reference field="5" count="1" selected="0">
            <x v="17"/>
          </reference>
        </references>
      </pivotArea>
    </chartFormat>
    <chartFormat chart="12" format="25">
      <pivotArea type="data" outline="0" fieldPosition="0">
        <references count="2">
          <reference field="4294967294" count="1" selected="0">
            <x v="0"/>
          </reference>
          <reference field="5" count="1" selected="0">
            <x v="19"/>
          </reference>
        </references>
      </pivotArea>
    </chartFormat>
    <chartFormat chart="12" format="26">
      <pivotArea type="data" outline="0" fieldPosition="0">
        <references count="2">
          <reference field="4294967294" count="1" selected="0">
            <x v="0"/>
          </reference>
          <reference field="5" count="1" selected="0">
            <x v="24"/>
          </reference>
        </references>
      </pivotArea>
    </chartFormat>
    <chartFormat chart="12" format="27">
      <pivotArea type="data" outline="0" fieldPosition="0">
        <references count="2">
          <reference field="4294967294" count="1" selected="0">
            <x v="0"/>
          </reference>
          <reference field="5" count="1" selected="0">
            <x v="29"/>
          </reference>
        </references>
      </pivotArea>
    </chartFormat>
    <chartFormat chart="12" format="28">
      <pivotArea type="data" outline="0" fieldPosition="0">
        <references count="2">
          <reference field="4294967294" count="1" selected="0">
            <x v="0"/>
          </reference>
          <reference field="5" count="1" selected="0">
            <x v="30"/>
          </reference>
        </references>
      </pivotArea>
    </chartFormat>
    <chartFormat chart="12" format="29">
      <pivotArea type="data" outline="0" fieldPosition="0">
        <references count="2">
          <reference field="4294967294" count="1" selected="0">
            <x v="0"/>
          </reference>
          <reference field="5" count="1" selected="0">
            <x v="31"/>
          </reference>
        </references>
      </pivotArea>
    </chartFormat>
    <chartFormat chart="0" format="8">
      <pivotArea type="data" outline="0" fieldPosition="0">
        <references count="2">
          <reference field="4294967294" count="1" selected="0">
            <x v="0"/>
          </reference>
          <reference field="5" count="1" selected="0">
            <x v="18"/>
          </reference>
        </references>
      </pivotArea>
    </chartFormat>
    <chartFormat chart="0" format="9">
      <pivotArea type="data" outline="0" fieldPosition="0">
        <references count="2">
          <reference field="4294967294" count="1" selected="0">
            <x v="0"/>
          </reference>
          <reference field="5" count="1" selected="0">
            <x v="23"/>
          </reference>
        </references>
      </pivotArea>
    </chartFormat>
    <chartFormat chart="0" format="10">
      <pivotArea type="data" outline="0" fieldPosition="0">
        <references count="2">
          <reference field="4294967294" count="1" selected="0">
            <x v="0"/>
          </reference>
          <reference field="5" count="1" selected="0">
            <x v="29"/>
          </reference>
        </references>
      </pivotArea>
    </chartFormat>
    <chartFormat chart="0" format="11">
      <pivotArea type="data" outline="0" fieldPosition="0">
        <references count="2">
          <reference field="4294967294" count="1" selected="0">
            <x v="0"/>
          </reference>
          <reference field="5" count="1" selected="0">
            <x v="30"/>
          </reference>
        </references>
      </pivotArea>
    </chartFormat>
    <chartFormat chart="0" format="12">
      <pivotArea type="data" outline="0" fieldPosition="0">
        <references count="2">
          <reference field="4294967294" count="1" selected="0">
            <x v="0"/>
          </reference>
          <reference field="5" count="1" selected="0">
            <x v="31"/>
          </reference>
        </references>
      </pivotArea>
    </chartFormat>
    <chartFormat chart="12" format="30">
      <pivotArea type="data" outline="0" fieldPosition="0">
        <references count="2">
          <reference field="4294967294" count="1" selected="0">
            <x v="0"/>
          </reference>
          <reference field="5" count="1" selected="0">
            <x v="3"/>
          </reference>
        </references>
      </pivotArea>
    </chartFormat>
    <chartFormat chart="12" format="31">
      <pivotArea type="data" outline="0" fieldPosition="0">
        <references count="2">
          <reference field="4294967294" count="1" selected="0">
            <x v="0"/>
          </reference>
          <reference field="5" count="1" selected="0">
            <x v="4"/>
          </reference>
        </references>
      </pivotArea>
    </chartFormat>
    <chartFormat chart="12" format="32">
      <pivotArea type="data" outline="0" fieldPosition="0">
        <references count="2">
          <reference field="4294967294" count="1" selected="0">
            <x v="0"/>
          </reference>
          <reference field="5" count="1" selected="0">
            <x v="5"/>
          </reference>
        </references>
      </pivotArea>
    </chartFormat>
    <chartFormat chart="12" format="33">
      <pivotArea type="data" outline="0" fieldPosition="0">
        <references count="2">
          <reference field="4294967294" count="1" selected="0">
            <x v="0"/>
          </reference>
          <reference field="5" count="1" selected="0">
            <x v="6"/>
          </reference>
        </references>
      </pivotArea>
    </chartFormat>
    <chartFormat chart="12" format="34">
      <pivotArea type="data" outline="0" fieldPosition="0">
        <references count="2">
          <reference field="4294967294" count="1" selected="0">
            <x v="0"/>
          </reference>
          <reference field="5" count="1" selected="0">
            <x v="7"/>
          </reference>
        </references>
      </pivotArea>
    </chartFormat>
    <chartFormat chart="12" format="35">
      <pivotArea type="data" outline="0" fieldPosition="0">
        <references count="2">
          <reference field="4294967294" count="1" selected="0">
            <x v="0"/>
          </reference>
          <reference field="5" count="1" selected="0">
            <x v="8"/>
          </reference>
        </references>
      </pivotArea>
    </chartFormat>
    <chartFormat chart="12" format="36">
      <pivotArea type="data" outline="0" fieldPosition="0">
        <references count="2">
          <reference field="4294967294" count="1" selected="0">
            <x v="0"/>
          </reference>
          <reference field="5" count="1" selected="0">
            <x v="9"/>
          </reference>
        </references>
      </pivotArea>
    </chartFormat>
    <chartFormat chart="12" format="37">
      <pivotArea type="data" outline="0" fieldPosition="0">
        <references count="2">
          <reference field="4294967294" count="1" selected="0">
            <x v="0"/>
          </reference>
          <reference field="5" count="1" selected="0">
            <x v="10"/>
          </reference>
        </references>
      </pivotArea>
    </chartFormat>
    <chartFormat chart="12" format="38">
      <pivotArea type="data" outline="0" fieldPosition="0">
        <references count="2">
          <reference field="4294967294" count="1" selected="0">
            <x v="0"/>
          </reference>
          <reference field="5" count="1" selected="0">
            <x v="11"/>
          </reference>
        </references>
      </pivotArea>
    </chartFormat>
    <chartFormat chart="12" format="39">
      <pivotArea type="data" outline="0" fieldPosition="0">
        <references count="2">
          <reference field="4294967294" count="1" selected="0">
            <x v="0"/>
          </reference>
          <reference field="5" count="1" selected="0">
            <x v="12"/>
          </reference>
        </references>
      </pivotArea>
    </chartFormat>
    <chartFormat chart="12" format="40">
      <pivotArea type="data" outline="0" fieldPosition="0">
        <references count="2">
          <reference field="4294967294" count="1" selected="0">
            <x v="0"/>
          </reference>
          <reference field="5" count="1" selected="0">
            <x v="13"/>
          </reference>
        </references>
      </pivotArea>
    </chartFormat>
    <chartFormat chart="12" format="41">
      <pivotArea type="data" outline="0" fieldPosition="0">
        <references count="2">
          <reference field="4294967294" count="1" selected="0">
            <x v="0"/>
          </reference>
          <reference field="5" count="1" selected="0">
            <x v="14"/>
          </reference>
        </references>
      </pivotArea>
    </chartFormat>
    <chartFormat chart="12" format="42">
      <pivotArea type="data" outline="0" fieldPosition="0">
        <references count="2">
          <reference field="4294967294" count="1" selected="0">
            <x v="0"/>
          </reference>
          <reference field="5" count="1" selected="0">
            <x v="15"/>
          </reference>
        </references>
      </pivotArea>
    </chartFormat>
    <chartFormat chart="12" format="43">
      <pivotArea type="data" outline="0" fieldPosition="0">
        <references count="2">
          <reference field="4294967294" count="1" selected="0">
            <x v="0"/>
          </reference>
          <reference field="5" count="1" selected="0">
            <x v="18"/>
          </reference>
        </references>
      </pivotArea>
    </chartFormat>
    <chartFormat chart="12" format="44">
      <pivotArea type="data" outline="0" fieldPosition="0">
        <references count="2">
          <reference field="4294967294" count="1" selected="0">
            <x v="0"/>
          </reference>
          <reference field="5" count="1" selected="0">
            <x v="20"/>
          </reference>
        </references>
      </pivotArea>
    </chartFormat>
    <chartFormat chart="12" format="45">
      <pivotArea type="data" outline="0" fieldPosition="0">
        <references count="2">
          <reference field="4294967294" count="1" selected="0">
            <x v="0"/>
          </reference>
          <reference field="5" count="1" selected="0">
            <x v="21"/>
          </reference>
        </references>
      </pivotArea>
    </chartFormat>
    <chartFormat chart="12" format="46">
      <pivotArea type="data" outline="0" fieldPosition="0">
        <references count="2">
          <reference field="4294967294" count="1" selected="0">
            <x v="0"/>
          </reference>
          <reference field="5" count="1" selected="0">
            <x v="22"/>
          </reference>
        </references>
      </pivotArea>
    </chartFormat>
    <chartFormat chart="12" format="47">
      <pivotArea type="data" outline="0" fieldPosition="0">
        <references count="2">
          <reference field="4294967294" count="1" selected="0">
            <x v="0"/>
          </reference>
          <reference field="5" count="1" selected="0">
            <x v="23"/>
          </reference>
        </references>
      </pivotArea>
    </chartFormat>
    <chartFormat chart="12" format="48">
      <pivotArea type="data" outline="0" fieldPosition="0">
        <references count="2">
          <reference field="4294967294" count="1" selected="0">
            <x v="0"/>
          </reference>
          <reference field="5" count="1" selected="0">
            <x v="25"/>
          </reference>
        </references>
      </pivotArea>
    </chartFormat>
    <chartFormat chart="12" format="49">
      <pivotArea type="data" outline="0" fieldPosition="0">
        <references count="2">
          <reference field="4294967294" count="1" selected="0">
            <x v="0"/>
          </reference>
          <reference field="5" count="1" selected="0">
            <x v="26"/>
          </reference>
        </references>
      </pivotArea>
    </chartFormat>
    <chartFormat chart="12" format="50">
      <pivotArea type="data" outline="0" fieldPosition="0">
        <references count="2">
          <reference field="4294967294" count="1" selected="0">
            <x v="0"/>
          </reference>
          <reference field="5" count="1" selected="0">
            <x v="27"/>
          </reference>
        </references>
      </pivotArea>
    </chartFormat>
    <chartFormat chart="12" format="51">
      <pivotArea type="data" outline="0" fieldPosition="0">
        <references count="2">
          <reference field="4294967294" count="1" selected="0">
            <x v="0"/>
          </reference>
          <reference field="5" count="1" selected="0">
            <x v="28"/>
          </reference>
        </references>
      </pivotArea>
    </chartFormat>
    <chartFormat chart="12" format="52">
      <pivotArea type="data" outline="0" fieldPosition="0">
        <references count="2">
          <reference field="4294967294" count="1" selected="0">
            <x v="0"/>
          </reference>
          <reference field="5" count="1" selected="0">
            <x v="32"/>
          </reference>
        </references>
      </pivotArea>
    </chartFormat>
    <chartFormat chart="12" format="53">
      <pivotArea type="data" outline="0" fieldPosition="0">
        <references count="2">
          <reference field="4294967294" count="1" selected="0">
            <x v="0"/>
          </reference>
          <reference field="5" count="1" selected="0">
            <x v="33"/>
          </reference>
        </references>
      </pivotArea>
    </chartFormat>
    <chartFormat chart="12" format="54">
      <pivotArea type="data" outline="0" fieldPosition="0">
        <references count="2">
          <reference field="4294967294" count="1" selected="0">
            <x v="0"/>
          </reference>
          <reference field="5" count="1" selected="0">
            <x v="34"/>
          </reference>
        </references>
      </pivotArea>
    </chartFormat>
    <chartFormat chart="12" format="55">
      <pivotArea type="data" outline="0" fieldPosition="0">
        <references count="2">
          <reference field="4294967294" count="1" selected="0">
            <x v="0"/>
          </reference>
          <reference field="5" count="1" selected="0">
            <x v="35"/>
          </reference>
        </references>
      </pivotArea>
    </chartFormat>
    <chartFormat chart="12" format="56">
      <pivotArea type="data" outline="0" fieldPosition="0">
        <references count="2">
          <reference field="4294967294" count="1" selected="0">
            <x v="0"/>
          </reference>
          <reference field="5" count="1" selected="0">
            <x v="36"/>
          </reference>
        </references>
      </pivotArea>
    </chartFormat>
    <chartFormat chart="12" format="57">
      <pivotArea type="data" outline="0" fieldPosition="0">
        <references count="2">
          <reference field="4294967294" count="1" selected="0">
            <x v="0"/>
          </reference>
          <reference field="5" count="1" selected="0">
            <x v="37"/>
          </reference>
        </references>
      </pivotArea>
    </chartFormat>
    <chartFormat chart="12" format="58">
      <pivotArea type="data" outline="0" fieldPosition="0">
        <references count="2">
          <reference field="4294967294" count="1" selected="0">
            <x v="0"/>
          </reference>
          <reference field="5" count="1" selected="0">
            <x v="38"/>
          </reference>
        </references>
      </pivotArea>
    </chartFormat>
    <chartFormat chart="0" format="13">
      <pivotArea type="data" outline="0" fieldPosition="0">
        <references count="2">
          <reference field="4294967294" count="1" selected="0">
            <x v="0"/>
          </reference>
          <reference field="5" count="1" selected="0">
            <x v="3"/>
          </reference>
        </references>
      </pivotArea>
    </chartFormat>
    <chartFormat chart="0" format="14">
      <pivotArea type="data" outline="0" fieldPosition="0">
        <references count="2">
          <reference field="4294967294" count="1" selected="0">
            <x v="0"/>
          </reference>
          <reference field="5" count="1" selected="0">
            <x v="4"/>
          </reference>
        </references>
      </pivotArea>
    </chartFormat>
    <chartFormat chart="0" format="15">
      <pivotArea type="data" outline="0" fieldPosition="0">
        <references count="2">
          <reference field="4294967294" count="1" selected="0">
            <x v="0"/>
          </reference>
          <reference field="5" count="1" selected="0">
            <x v="5"/>
          </reference>
        </references>
      </pivotArea>
    </chartFormat>
    <chartFormat chart="0" format="16">
      <pivotArea type="data" outline="0" fieldPosition="0">
        <references count="2">
          <reference field="4294967294" count="1" selected="0">
            <x v="0"/>
          </reference>
          <reference field="5" count="1" selected="0">
            <x v="6"/>
          </reference>
        </references>
      </pivotArea>
    </chartFormat>
    <chartFormat chart="0" format="17">
      <pivotArea type="data" outline="0" fieldPosition="0">
        <references count="2">
          <reference field="4294967294" count="1" selected="0">
            <x v="0"/>
          </reference>
          <reference field="5" count="1" selected="0">
            <x v="7"/>
          </reference>
        </references>
      </pivotArea>
    </chartFormat>
    <chartFormat chart="0" format="18">
      <pivotArea type="data" outline="0" fieldPosition="0">
        <references count="2">
          <reference field="4294967294" count="1" selected="0">
            <x v="0"/>
          </reference>
          <reference field="5" count="1" selected="0">
            <x v="8"/>
          </reference>
        </references>
      </pivotArea>
    </chartFormat>
    <chartFormat chart="0" format="19">
      <pivotArea type="data" outline="0" fieldPosition="0">
        <references count="2">
          <reference field="4294967294" count="1" selected="0">
            <x v="0"/>
          </reference>
          <reference field="5" count="1" selected="0">
            <x v="9"/>
          </reference>
        </references>
      </pivotArea>
    </chartFormat>
    <chartFormat chart="0" format="20">
      <pivotArea type="data" outline="0" fieldPosition="0">
        <references count="2">
          <reference field="4294967294" count="1" selected="0">
            <x v="0"/>
          </reference>
          <reference field="5" count="1" selected="0">
            <x v="10"/>
          </reference>
        </references>
      </pivotArea>
    </chartFormat>
    <chartFormat chart="0" format="21">
      <pivotArea type="data" outline="0" fieldPosition="0">
        <references count="2">
          <reference field="4294967294" count="1" selected="0">
            <x v="0"/>
          </reference>
          <reference field="5" count="1" selected="0">
            <x v="11"/>
          </reference>
        </references>
      </pivotArea>
    </chartFormat>
    <chartFormat chart="0" format="22">
      <pivotArea type="data" outline="0" fieldPosition="0">
        <references count="2">
          <reference field="4294967294" count="1" selected="0">
            <x v="0"/>
          </reference>
          <reference field="5" count="1" selected="0">
            <x v="12"/>
          </reference>
        </references>
      </pivotArea>
    </chartFormat>
    <chartFormat chart="0" format="23">
      <pivotArea type="data" outline="0" fieldPosition="0">
        <references count="2">
          <reference field="4294967294" count="1" selected="0">
            <x v="0"/>
          </reference>
          <reference field="5" count="1" selected="0">
            <x v="13"/>
          </reference>
        </references>
      </pivotArea>
    </chartFormat>
    <chartFormat chart="0" format="24">
      <pivotArea type="data" outline="0" fieldPosition="0">
        <references count="2">
          <reference field="4294967294" count="1" selected="0">
            <x v="0"/>
          </reference>
          <reference field="5" count="1" selected="0">
            <x v="14"/>
          </reference>
        </references>
      </pivotArea>
    </chartFormat>
    <chartFormat chart="0" format="25">
      <pivotArea type="data" outline="0" fieldPosition="0">
        <references count="2">
          <reference field="4294967294" count="1" selected="0">
            <x v="0"/>
          </reference>
          <reference field="5" count="1" selected="0">
            <x v="15"/>
          </reference>
        </references>
      </pivotArea>
    </chartFormat>
    <chartFormat chart="0" format="26">
      <pivotArea type="data" outline="0" fieldPosition="0">
        <references count="2">
          <reference field="4294967294" count="1" selected="0">
            <x v="0"/>
          </reference>
          <reference field="5" count="1" selected="0">
            <x v="20"/>
          </reference>
        </references>
      </pivotArea>
    </chartFormat>
    <chartFormat chart="0" format="27">
      <pivotArea type="data" outline="0" fieldPosition="0">
        <references count="2">
          <reference field="4294967294" count="1" selected="0">
            <x v="0"/>
          </reference>
          <reference field="5" count="1" selected="0">
            <x v="21"/>
          </reference>
        </references>
      </pivotArea>
    </chartFormat>
    <chartFormat chart="0" format="28">
      <pivotArea type="data" outline="0" fieldPosition="0">
        <references count="2">
          <reference field="4294967294" count="1" selected="0">
            <x v="0"/>
          </reference>
          <reference field="5" count="1" selected="0">
            <x v="22"/>
          </reference>
        </references>
      </pivotArea>
    </chartFormat>
    <chartFormat chart="0" format="29">
      <pivotArea type="data" outline="0" fieldPosition="0">
        <references count="2">
          <reference field="4294967294" count="1" selected="0">
            <x v="0"/>
          </reference>
          <reference field="5" count="1" selected="0">
            <x v="25"/>
          </reference>
        </references>
      </pivotArea>
    </chartFormat>
    <chartFormat chart="0" format="30">
      <pivotArea type="data" outline="0" fieldPosition="0">
        <references count="2">
          <reference field="4294967294" count="1" selected="0">
            <x v="0"/>
          </reference>
          <reference field="5" count="1" selected="0">
            <x v="26"/>
          </reference>
        </references>
      </pivotArea>
    </chartFormat>
    <chartFormat chart="0" format="31">
      <pivotArea type="data" outline="0" fieldPosition="0">
        <references count="2">
          <reference field="4294967294" count="1" selected="0">
            <x v="0"/>
          </reference>
          <reference field="5" count="1" selected="0">
            <x v="27"/>
          </reference>
        </references>
      </pivotArea>
    </chartFormat>
    <chartFormat chart="0" format="32">
      <pivotArea type="data" outline="0" fieldPosition="0">
        <references count="2">
          <reference field="4294967294" count="1" selected="0">
            <x v="0"/>
          </reference>
          <reference field="5" count="1" selected="0">
            <x v="28"/>
          </reference>
        </references>
      </pivotArea>
    </chartFormat>
    <chartFormat chart="0" format="33">
      <pivotArea type="data" outline="0" fieldPosition="0">
        <references count="2">
          <reference field="4294967294" count="1" selected="0">
            <x v="0"/>
          </reference>
          <reference field="5" count="1" selected="0">
            <x v="32"/>
          </reference>
        </references>
      </pivotArea>
    </chartFormat>
    <chartFormat chart="0" format="34">
      <pivotArea type="data" outline="0" fieldPosition="0">
        <references count="2">
          <reference field="4294967294" count="1" selected="0">
            <x v="0"/>
          </reference>
          <reference field="5" count="1" selected="0">
            <x v="33"/>
          </reference>
        </references>
      </pivotArea>
    </chartFormat>
    <chartFormat chart="0" format="35">
      <pivotArea type="data" outline="0" fieldPosition="0">
        <references count="2">
          <reference field="4294967294" count="1" selected="0">
            <x v="0"/>
          </reference>
          <reference field="5" count="1" selected="0">
            <x v="34"/>
          </reference>
        </references>
      </pivotArea>
    </chartFormat>
    <chartFormat chart="0" format="36">
      <pivotArea type="data" outline="0" fieldPosition="0">
        <references count="2">
          <reference field="4294967294" count="1" selected="0">
            <x v="0"/>
          </reference>
          <reference field="5" count="1" selected="0">
            <x v="35"/>
          </reference>
        </references>
      </pivotArea>
    </chartFormat>
    <chartFormat chart="0" format="37">
      <pivotArea type="data" outline="0" fieldPosition="0">
        <references count="2">
          <reference field="4294967294" count="1" selected="0">
            <x v="0"/>
          </reference>
          <reference field="5" count="1" selected="0">
            <x v="36"/>
          </reference>
        </references>
      </pivotArea>
    </chartFormat>
    <chartFormat chart="0" format="38">
      <pivotArea type="data" outline="0" fieldPosition="0">
        <references count="2">
          <reference field="4294967294" count="1" selected="0">
            <x v="0"/>
          </reference>
          <reference field="5" count="1" selected="0">
            <x v="37"/>
          </reference>
        </references>
      </pivotArea>
    </chartFormat>
    <chartFormat chart="0" format="39">
      <pivotArea type="data" outline="0" fieldPosition="0">
        <references count="2">
          <reference field="4294967294" count="1" selected="0">
            <x v="0"/>
          </reference>
          <reference field="5" count="1" selected="0">
            <x v="3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5AE5CE-DC55-436A-860D-45A6E8A0B6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3">
    <pivotField showAll="0"/>
    <pivotField showAll="0">
      <items count="105">
        <item x="69"/>
        <item x="94"/>
        <item x="32"/>
        <item x="38"/>
        <item x="4"/>
        <item x="74"/>
        <item x="13"/>
        <item x="27"/>
        <item x="18"/>
        <item x="6"/>
        <item x="0"/>
        <item x="52"/>
        <item x="37"/>
        <item x="101"/>
        <item x="63"/>
        <item x="79"/>
        <item x="85"/>
        <item x="7"/>
        <item x="65"/>
        <item x="77"/>
        <item x="5"/>
        <item x="1"/>
        <item x="49"/>
        <item x="34"/>
        <item x="29"/>
        <item x="61"/>
        <item x="23"/>
        <item x="83"/>
        <item x="53"/>
        <item x="71"/>
        <item x="35"/>
        <item x="55"/>
        <item x="26"/>
        <item x="45"/>
        <item x="62"/>
        <item x="76"/>
        <item x="12"/>
        <item x="60"/>
        <item x="87"/>
        <item x="90"/>
        <item x="43"/>
        <item x="39"/>
        <item x="54"/>
        <item x="92"/>
        <item x="100"/>
        <item x="58"/>
        <item x="36"/>
        <item x="98"/>
        <item x="64"/>
        <item x="46"/>
        <item x="88"/>
        <item x="15"/>
        <item x="103"/>
        <item x="56"/>
        <item x="102"/>
        <item x="97"/>
        <item x="48"/>
        <item x="75"/>
        <item x="91"/>
        <item x="86"/>
        <item x="57"/>
        <item x="72"/>
        <item x="59"/>
        <item x="66"/>
        <item x="67"/>
        <item x="89"/>
        <item x="3"/>
        <item x="68"/>
        <item x="33"/>
        <item x="2"/>
        <item x="73"/>
        <item x="93"/>
        <item x="31"/>
        <item x="44"/>
        <item x="17"/>
        <item x="11"/>
        <item x="95"/>
        <item x="70"/>
        <item x="51"/>
        <item x="16"/>
        <item x="30"/>
        <item x="25"/>
        <item x="84"/>
        <item x="24"/>
        <item x="19"/>
        <item x="9"/>
        <item x="21"/>
        <item x="99"/>
        <item x="8"/>
        <item x="81"/>
        <item x="41"/>
        <item x="96"/>
        <item x="14"/>
        <item x="22"/>
        <item x="82"/>
        <item x="28"/>
        <item x="20"/>
        <item x="80"/>
        <item x="40"/>
        <item x="78"/>
        <item x="47"/>
        <item x="42"/>
        <item x="50"/>
        <item x="10"/>
        <item t="default"/>
      </items>
    </pivotField>
    <pivotField dataField="1" showAll="0"/>
    <pivotField showAll="0"/>
    <pivotField showAll="0"/>
    <pivotField showAll="0">
      <items count="40">
        <item x="1"/>
        <item x="11"/>
        <item x="10"/>
        <item x="36"/>
        <item x="22"/>
        <item x="14"/>
        <item x="33"/>
        <item x="15"/>
        <item x="19"/>
        <item x="37"/>
        <item x="16"/>
        <item x="25"/>
        <item x="27"/>
        <item x="20"/>
        <item x="30"/>
        <item x="32"/>
        <item x="17"/>
        <item x="7"/>
        <item x="21"/>
        <item x="0"/>
        <item x="31"/>
        <item x="12"/>
        <item x="24"/>
        <item x="5"/>
        <item x="3"/>
        <item x="26"/>
        <item x="13"/>
        <item x="23"/>
        <item x="6"/>
        <item x="8"/>
        <item x="18"/>
        <item x="9"/>
        <item x="38"/>
        <item x="35"/>
        <item x="29"/>
        <item x="28"/>
        <item x="4"/>
        <item x="34"/>
        <item x="2"/>
        <item t="default"/>
      </items>
    </pivotField>
    <pivotField axis="axisRow" showAll="0" measureFilter="1" sortType="ascending">
      <items count="20">
        <item x="7"/>
        <item x="10"/>
        <item x="12"/>
        <item x="14"/>
        <item x="2"/>
        <item x="1"/>
        <item x="16"/>
        <item x="6"/>
        <item x="17"/>
        <item x="9"/>
        <item x="8"/>
        <item x="13"/>
        <item x="0"/>
        <item x="15"/>
        <item x="11"/>
        <item x="18"/>
        <item x="4"/>
        <item x="5"/>
        <item x="3"/>
        <item t="default"/>
      </items>
    </pivotField>
    <pivotField showAll="0"/>
    <pivotField showAll="0"/>
    <pivotField showAll="0"/>
    <pivotField showAll="0">
      <items count="3">
        <item x="0"/>
        <item x="1"/>
        <item t="default"/>
      </items>
    </pivotField>
    <pivotField showAll="0"/>
    <pivotField showAll="0"/>
  </pivotFields>
  <rowFields count="1">
    <field x="6"/>
  </rowFields>
  <rowItems count="11">
    <i>
      <x/>
    </i>
    <i>
      <x v="1"/>
    </i>
    <i>
      <x v="2"/>
    </i>
    <i>
      <x v="4"/>
    </i>
    <i>
      <x v="5"/>
    </i>
    <i>
      <x v="7"/>
    </i>
    <i>
      <x v="12"/>
    </i>
    <i>
      <x v="14"/>
    </i>
    <i>
      <x v="16"/>
    </i>
    <i>
      <x v="18"/>
    </i>
    <i t="grand">
      <x/>
    </i>
  </rowItems>
  <colItems count="1">
    <i/>
  </colItems>
  <dataFields count="1">
    <dataField name="Sum of streams" fld="2" baseField="0" baseItem="0"/>
  </dataFields>
  <chartFormats count="5">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A09741-2612-4DDA-8F60-E06D8D16D8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5" firstHeaderRow="1" firstDataRow="2" firstDataCol="1"/>
  <pivotFields count="13">
    <pivotField showAll="0"/>
    <pivotField showAll="0">
      <items count="105">
        <item x="69"/>
        <item x="94"/>
        <item x="32"/>
        <item x="38"/>
        <item x="4"/>
        <item x="74"/>
        <item x="13"/>
        <item x="27"/>
        <item x="18"/>
        <item x="6"/>
        <item x="0"/>
        <item x="52"/>
        <item x="37"/>
        <item x="101"/>
        <item x="63"/>
        <item x="79"/>
        <item x="85"/>
        <item x="7"/>
        <item x="65"/>
        <item x="77"/>
        <item x="5"/>
        <item x="1"/>
        <item x="49"/>
        <item x="34"/>
        <item x="29"/>
        <item x="61"/>
        <item x="23"/>
        <item x="83"/>
        <item x="53"/>
        <item x="71"/>
        <item x="35"/>
        <item x="55"/>
        <item x="26"/>
        <item x="45"/>
        <item x="62"/>
        <item x="76"/>
        <item x="12"/>
        <item x="60"/>
        <item x="87"/>
        <item x="90"/>
        <item x="43"/>
        <item x="39"/>
        <item x="54"/>
        <item x="92"/>
        <item x="100"/>
        <item x="58"/>
        <item x="36"/>
        <item x="98"/>
        <item x="64"/>
        <item x="46"/>
        <item x="88"/>
        <item x="15"/>
        <item x="103"/>
        <item x="56"/>
        <item x="102"/>
        <item x="97"/>
        <item x="48"/>
        <item x="75"/>
        <item x="91"/>
        <item x="86"/>
        <item x="57"/>
        <item x="72"/>
        <item x="59"/>
        <item x="66"/>
        <item x="67"/>
        <item x="89"/>
        <item x="3"/>
        <item x="68"/>
        <item x="33"/>
        <item x="2"/>
        <item x="73"/>
        <item x="93"/>
        <item x="31"/>
        <item x="44"/>
        <item x="17"/>
        <item x="11"/>
        <item x="95"/>
        <item x="70"/>
        <item x="51"/>
        <item x="16"/>
        <item x="30"/>
        <item x="25"/>
        <item x="84"/>
        <item x="24"/>
        <item x="19"/>
        <item x="9"/>
        <item x="21"/>
        <item x="99"/>
        <item x="8"/>
        <item x="81"/>
        <item x="41"/>
        <item x="96"/>
        <item x="14"/>
        <item x="22"/>
        <item x="82"/>
        <item x="28"/>
        <item x="20"/>
        <item x="80"/>
        <item x="40"/>
        <item x="78"/>
        <item x="47"/>
        <item x="42"/>
        <item x="50"/>
        <item x="10"/>
        <item t="default"/>
      </items>
    </pivotField>
    <pivotField dataField="1" showAll="0"/>
    <pivotField showAll="0"/>
    <pivotField showAll="0"/>
    <pivotField showAll="0">
      <items count="40">
        <item x="1"/>
        <item x="11"/>
        <item x="10"/>
        <item x="36"/>
        <item x="22"/>
        <item x="14"/>
        <item x="33"/>
        <item x="15"/>
        <item x="19"/>
        <item x="37"/>
        <item x="16"/>
        <item x="25"/>
        <item x="27"/>
        <item x="20"/>
        <item x="30"/>
        <item x="32"/>
        <item x="17"/>
        <item x="7"/>
        <item x="21"/>
        <item x="0"/>
        <item x="31"/>
        <item x="12"/>
        <item x="24"/>
        <item x="5"/>
        <item x="3"/>
        <item x="26"/>
        <item x="13"/>
        <item x="23"/>
        <item x="6"/>
        <item x="8"/>
        <item x="18"/>
        <item x="9"/>
        <item x="38"/>
        <item x="35"/>
        <item x="29"/>
        <item x="28"/>
        <item x="4"/>
        <item x="34"/>
        <item x="2"/>
        <item t="default"/>
      </items>
    </pivotField>
    <pivotField showAll="0">
      <items count="20">
        <item x="7"/>
        <item x="10"/>
        <item x="12"/>
        <item x="14"/>
        <item x="2"/>
        <item x="1"/>
        <item x="16"/>
        <item x="6"/>
        <item x="17"/>
        <item x="9"/>
        <item x="8"/>
        <item x="13"/>
        <item x="0"/>
        <item x="15"/>
        <item x="11"/>
        <item x="18"/>
        <item x="4"/>
        <item x="5"/>
        <item x="3"/>
        <item t="default"/>
      </items>
    </pivotField>
    <pivotField showAll="0"/>
    <pivotField showAll="0"/>
    <pivotField showAll="0"/>
    <pivotField axis="axisCol" showAll="0">
      <items count="3">
        <item x="0"/>
        <item x="1"/>
        <item t="default"/>
      </items>
    </pivotField>
    <pivotField showAll="0"/>
    <pivotField showAll="0"/>
  </pivotFields>
  <rowItems count="1">
    <i/>
  </rowItems>
  <colFields count="1">
    <field x="10"/>
  </colFields>
  <colItems count="3">
    <i>
      <x/>
    </i>
    <i>
      <x v="1"/>
    </i>
    <i t="grand">
      <x/>
    </i>
  </colItems>
  <dataFields count="1">
    <dataField name="Sum of streams" fld="2"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9" format="2" series="1">
      <pivotArea type="data" outline="0" fieldPosition="0">
        <references count="2">
          <reference field="4294967294" count="1" selected="0">
            <x v="0"/>
          </reference>
          <reference field="10" count="1" selected="0">
            <x v="0"/>
          </reference>
        </references>
      </pivotArea>
    </chartFormat>
    <chartFormat chart="9" format="3" series="1">
      <pivotArea type="data" outline="0" fieldPosition="0">
        <references count="2">
          <reference field="4294967294" count="1" selected="0">
            <x v="0"/>
          </reference>
          <reference field="10" count="1" selected="0">
            <x v="1"/>
          </reference>
        </references>
      </pivotArea>
    </chartFormat>
    <chartFormat chart="16" format="4" series="1">
      <pivotArea type="data" outline="0" fieldPosition="0">
        <references count="2">
          <reference field="4294967294" count="1" selected="0">
            <x v="0"/>
          </reference>
          <reference field="10" count="1" selected="0">
            <x v="0"/>
          </reference>
        </references>
      </pivotArea>
    </chartFormat>
    <chartFormat chart="16" format="5" series="1">
      <pivotArea type="data" outline="0" fieldPosition="0">
        <references count="2">
          <reference field="4294967294" count="1" selected="0">
            <x v="0"/>
          </reference>
          <reference field="10" count="1" selected="0">
            <x v="1"/>
          </reference>
        </references>
      </pivotArea>
    </chartFormat>
    <chartFormat chart="1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F439A-752A-4558-AC2A-B3D35BE017D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6" firstHeaderRow="0" firstDataRow="1" firstDataCol="1"/>
  <pivotFields count="13">
    <pivotField showAll="0"/>
    <pivotField showAll="0">
      <items count="105">
        <item x="69"/>
        <item x="94"/>
        <item x="32"/>
        <item x="38"/>
        <item x="4"/>
        <item x="74"/>
        <item x="13"/>
        <item x="27"/>
        <item x="18"/>
        <item x="6"/>
        <item x="0"/>
        <item x="52"/>
        <item x="37"/>
        <item x="101"/>
        <item x="63"/>
        <item x="79"/>
        <item x="85"/>
        <item x="7"/>
        <item x="65"/>
        <item x="77"/>
        <item x="5"/>
        <item x="1"/>
        <item x="49"/>
        <item x="34"/>
        <item x="29"/>
        <item x="61"/>
        <item x="23"/>
        <item x="83"/>
        <item x="53"/>
        <item x="71"/>
        <item x="35"/>
        <item x="55"/>
        <item x="26"/>
        <item x="45"/>
        <item x="62"/>
        <item x="76"/>
        <item x="12"/>
        <item x="60"/>
        <item x="87"/>
        <item x="90"/>
        <item x="43"/>
        <item x="39"/>
        <item x="54"/>
        <item x="92"/>
        <item x="100"/>
        <item x="58"/>
        <item x="36"/>
        <item x="98"/>
        <item x="64"/>
        <item x="46"/>
        <item x="88"/>
        <item x="15"/>
        <item x="103"/>
        <item x="56"/>
        <item x="102"/>
        <item x="97"/>
        <item x="48"/>
        <item x="75"/>
        <item x="91"/>
        <item x="86"/>
        <item x="57"/>
        <item x="72"/>
        <item x="59"/>
        <item x="66"/>
        <item x="67"/>
        <item x="89"/>
        <item x="3"/>
        <item x="68"/>
        <item x="33"/>
        <item x="2"/>
        <item x="73"/>
        <item x="93"/>
        <item x="31"/>
        <item x="44"/>
        <item x="17"/>
        <item x="11"/>
        <item x="95"/>
        <item x="70"/>
        <item x="51"/>
        <item x="16"/>
        <item x="30"/>
        <item x="25"/>
        <item x="84"/>
        <item x="24"/>
        <item x="19"/>
        <item x="9"/>
        <item x="21"/>
        <item x="99"/>
        <item x="8"/>
        <item x="81"/>
        <item x="41"/>
        <item x="96"/>
        <item x="14"/>
        <item x="22"/>
        <item x="82"/>
        <item x="28"/>
        <item x="20"/>
        <item x="80"/>
        <item x="40"/>
        <item x="78"/>
        <item x="47"/>
        <item x="42"/>
        <item x="50"/>
        <item x="10"/>
        <item t="default"/>
      </items>
    </pivotField>
    <pivotField dataField="1" showAll="0"/>
    <pivotField showAll="0"/>
    <pivotField showAll="0"/>
    <pivotField showAll="0">
      <items count="40">
        <item x="1"/>
        <item x="11"/>
        <item x="10"/>
        <item x="36"/>
        <item x="22"/>
        <item x="14"/>
        <item x="33"/>
        <item x="15"/>
        <item x="19"/>
        <item x="37"/>
        <item x="16"/>
        <item x="25"/>
        <item x="27"/>
        <item x="20"/>
        <item x="30"/>
        <item x="32"/>
        <item x="17"/>
        <item x="7"/>
        <item x="21"/>
        <item x="0"/>
        <item x="31"/>
        <item x="12"/>
        <item x="24"/>
        <item x="5"/>
        <item x="3"/>
        <item x="26"/>
        <item x="13"/>
        <item x="23"/>
        <item x="6"/>
        <item x="8"/>
        <item x="18"/>
        <item x="9"/>
        <item x="38"/>
        <item x="35"/>
        <item x="29"/>
        <item x="28"/>
        <item x="4"/>
        <item x="34"/>
        <item x="2"/>
        <item t="default"/>
      </items>
    </pivotField>
    <pivotField showAll="0">
      <items count="20">
        <item x="7"/>
        <item x="10"/>
        <item x="12"/>
        <item x="14"/>
        <item x="2"/>
        <item x="1"/>
        <item x="16"/>
        <item x="6"/>
        <item x="17"/>
        <item x="9"/>
        <item x="8"/>
        <item x="13"/>
        <item x="0"/>
        <item x="15"/>
        <item x="11"/>
        <item x="18"/>
        <item x="4"/>
        <item x="5"/>
        <item x="3"/>
        <item t="default"/>
      </items>
    </pivotField>
    <pivotField showAll="0"/>
    <pivotField dataField="1" showAll="0"/>
    <pivotField showAll="0"/>
    <pivotField showAll="0">
      <items count="3">
        <item x="0"/>
        <item x="1"/>
        <item t="default"/>
      </items>
    </pivotField>
    <pivotField axis="axisRow" showAll="0">
      <items count="3">
        <item sd="0" x="1"/>
        <item sd="0" x="0"/>
        <item t="default" sd="0"/>
      </items>
    </pivotField>
    <pivotField axis="axisRow" showAll="0">
      <items count="4">
        <item x="1"/>
        <item x="0"/>
        <item x="2"/>
        <item t="default"/>
      </items>
    </pivotField>
  </pivotFields>
  <rowFields count="2">
    <field x="11"/>
    <field x="12"/>
  </rowFields>
  <rowItems count="3">
    <i>
      <x/>
    </i>
    <i>
      <x v="1"/>
    </i>
    <i t="grand">
      <x/>
    </i>
  </rowItems>
  <colFields count="1">
    <field x="-2"/>
  </colFields>
  <colItems count="2">
    <i>
      <x/>
    </i>
    <i i="1">
      <x v="1"/>
    </i>
  </colItems>
  <dataFields count="2">
    <dataField name="Average of days" fld="8" subtotal="average" baseField="11" baseItem="0"/>
    <dataField name="Sum of stream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3D71E5-E6CC-4B27-BEF6-F561F09D188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3">
    <pivotField showAll="0"/>
    <pivotField showAll="0">
      <items count="105">
        <item x="69"/>
        <item x="94"/>
        <item x="32"/>
        <item x="38"/>
        <item x="4"/>
        <item x="74"/>
        <item x="13"/>
        <item x="27"/>
        <item x="18"/>
        <item x="6"/>
        <item x="0"/>
        <item x="52"/>
        <item x="37"/>
        <item x="101"/>
        <item x="63"/>
        <item x="79"/>
        <item x="85"/>
        <item x="7"/>
        <item x="65"/>
        <item x="77"/>
        <item x="5"/>
        <item x="1"/>
        <item x="49"/>
        <item x="34"/>
        <item x="29"/>
        <item x="61"/>
        <item x="23"/>
        <item x="83"/>
        <item x="53"/>
        <item x="71"/>
        <item x="35"/>
        <item x="55"/>
        <item x="26"/>
        <item x="45"/>
        <item x="62"/>
        <item x="76"/>
        <item x="12"/>
        <item x="60"/>
        <item x="87"/>
        <item x="90"/>
        <item x="43"/>
        <item x="39"/>
        <item x="54"/>
        <item x="92"/>
        <item x="100"/>
        <item x="58"/>
        <item x="36"/>
        <item x="98"/>
        <item x="64"/>
        <item x="46"/>
        <item x="88"/>
        <item x="15"/>
        <item x="103"/>
        <item x="56"/>
        <item x="102"/>
        <item x="97"/>
        <item x="48"/>
        <item x="75"/>
        <item x="91"/>
        <item x="86"/>
        <item x="57"/>
        <item x="72"/>
        <item x="59"/>
        <item x="66"/>
        <item x="67"/>
        <item x="89"/>
        <item x="3"/>
        <item x="68"/>
        <item x="33"/>
        <item x="2"/>
        <item x="73"/>
        <item x="93"/>
        <item x="31"/>
        <item x="44"/>
        <item x="17"/>
        <item x="11"/>
        <item x="95"/>
        <item x="70"/>
        <item x="51"/>
        <item x="16"/>
        <item x="30"/>
        <item x="25"/>
        <item x="84"/>
        <item x="24"/>
        <item x="19"/>
        <item x="9"/>
        <item x="21"/>
        <item x="99"/>
        <item x="8"/>
        <item x="81"/>
        <item x="41"/>
        <item x="96"/>
        <item x="14"/>
        <item x="22"/>
        <item x="82"/>
        <item x="28"/>
        <item x="20"/>
        <item x="80"/>
        <item x="40"/>
        <item x="78"/>
        <item x="47"/>
        <item x="42"/>
        <item x="50"/>
        <item x="10"/>
        <item t="default"/>
      </items>
    </pivotField>
    <pivotField showAll="0"/>
    <pivotField showAll="0"/>
    <pivotField showAll="0"/>
    <pivotField showAll="0">
      <items count="40">
        <item x="1"/>
        <item x="11"/>
        <item x="10"/>
        <item x="36"/>
        <item x="22"/>
        <item x="14"/>
        <item x="33"/>
        <item x="15"/>
        <item x="19"/>
        <item x="37"/>
        <item x="16"/>
        <item x="25"/>
        <item x="27"/>
        <item x="20"/>
        <item x="30"/>
        <item x="32"/>
        <item x="17"/>
        <item x="7"/>
        <item x="21"/>
        <item x="0"/>
        <item x="31"/>
        <item x="12"/>
        <item x="24"/>
        <item x="5"/>
        <item x="3"/>
        <item x="26"/>
        <item x="13"/>
        <item x="23"/>
        <item x="6"/>
        <item x="8"/>
        <item x="18"/>
        <item x="9"/>
        <item x="38"/>
        <item x="35"/>
        <item x="29"/>
        <item x="28"/>
        <item x="4"/>
        <item x="34"/>
        <item x="2"/>
        <item t="default"/>
      </items>
    </pivotField>
    <pivotField showAll="0">
      <items count="20">
        <item x="7"/>
        <item x="10"/>
        <item x="12"/>
        <item x="14"/>
        <item x="2"/>
        <item x="1"/>
        <item x="16"/>
        <item x="6"/>
        <item x="17"/>
        <item x="9"/>
        <item x="8"/>
        <item x="13"/>
        <item x="0"/>
        <item x="15"/>
        <item x="11"/>
        <item x="18"/>
        <item x="4"/>
        <item x="5"/>
        <item x="3"/>
        <item t="default"/>
      </items>
    </pivotField>
    <pivotField showAll="0"/>
    <pivotField showAll="0"/>
    <pivotField showAll="0"/>
    <pivotField showAll="0">
      <items count="3">
        <item x="0"/>
        <item x="1"/>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A15969-C9C1-43D9-95A1-A9905F5E03EB}" autoFormatId="16" applyNumberFormats="0" applyBorderFormats="0" applyFontFormats="0" applyPatternFormats="0" applyAlignmentFormats="0" applyWidthHeightFormats="0">
  <queryTableRefresh nextId="14">
    <queryTableFields count="13">
      <queryTableField id="1" name="track_name" tableColumnId="1"/>
      <queryTableField id="2" name="artist_name" tableColumnId="2"/>
      <queryTableField id="3" name="streams" tableColumnId="3"/>
      <queryTableField id="4" name="stream_change" tableColumnId="4"/>
      <queryTableField id="5" name="7day" tableColumnId="5"/>
      <queryTableField id="6" name="genre" tableColumnId="6"/>
      <queryTableField id="7" name="country" tableColumnId="7"/>
      <queryTableField id="8" name="pos" tableColumnId="8"/>
      <queryTableField id="9" name="days" tableColumnId="9"/>
      <queryTableField id="10" name="viral_score" tableColumnId="10"/>
      <queryTableField id="11" name="trend" tableColumnId="11"/>
      <queryTableField id="12" name="popularity_category" tableColumnId="12"/>
      <queryTableField id="13" name="longevity"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name" xr10:uid="{00B7ED10-6EAF-49CD-ADAE-DC38DAF0CE5D}" sourceName="artist_name">
  <pivotTables>
    <pivotTable tabId="9" name="PivotTable9"/>
    <pivotTable tabId="6" name="PivotTable6"/>
    <pivotTable tabId="5" name="PivotTable5"/>
    <pivotTable tabId="8" name="PivotTable8"/>
    <pivotTable tabId="3" name="PivotTable3"/>
    <pivotTable tabId="4" name="PivotTable4"/>
    <pivotTable tabId="7" name="PivotTable7"/>
  </pivotTables>
  <data>
    <tabular pivotCacheId="605723610">
      <items count="104">
        <i x="69" s="1"/>
        <i x="94" s="1"/>
        <i x="32" s="1"/>
        <i x="38" s="1"/>
        <i x="4" s="1"/>
        <i x="74" s="1"/>
        <i x="13" s="1"/>
        <i x="27" s="1"/>
        <i x="18" s="1"/>
        <i x="6" s="1"/>
        <i x="0" s="1"/>
        <i x="52" s="1"/>
        <i x="37" s="1"/>
        <i x="101" s="1"/>
        <i x="63" s="1"/>
        <i x="79" s="1"/>
        <i x="85" s="1"/>
        <i x="7" s="1"/>
        <i x="65" s="1"/>
        <i x="77" s="1"/>
        <i x="5" s="1"/>
        <i x="1" s="1"/>
        <i x="49" s="1"/>
        <i x="34" s="1"/>
        <i x="29" s="1"/>
        <i x="61" s="1"/>
        <i x="23" s="1"/>
        <i x="83" s="1"/>
        <i x="53" s="1"/>
        <i x="71" s="1"/>
        <i x="35" s="1"/>
        <i x="55" s="1"/>
        <i x="26" s="1"/>
        <i x="45" s="1"/>
        <i x="62" s="1"/>
        <i x="76" s="1"/>
        <i x="12" s="1"/>
        <i x="60" s="1"/>
        <i x="87" s="1"/>
        <i x="90" s="1"/>
        <i x="43" s="1"/>
        <i x="39" s="1"/>
        <i x="54" s="1"/>
        <i x="92" s="1"/>
        <i x="100" s="1"/>
        <i x="58" s="1"/>
        <i x="36" s="1"/>
        <i x="98" s="1"/>
        <i x="64" s="1"/>
        <i x="46" s="1"/>
        <i x="88" s="1"/>
        <i x="15" s="1"/>
        <i x="103" s="1"/>
        <i x="56" s="1"/>
        <i x="102" s="1"/>
        <i x="97" s="1"/>
        <i x="48" s="1"/>
        <i x="75" s="1"/>
        <i x="91" s="1"/>
        <i x="86" s="1"/>
        <i x="57" s="1"/>
        <i x="72" s="1"/>
        <i x="59" s="1"/>
        <i x="66" s="1"/>
        <i x="67" s="1"/>
        <i x="89" s="1"/>
        <i x="3" s="1"/>
        <i x="68" s="1"/>
        <i x="33" s="1"/>
        <i x="2" s="1"/>
        <i x="73" s="1"/>
        <i x="93" s="1"/>
        <i x="31" s="1"/>
        <i x="44" s="1"/>
        <i x="17" s="1"/>
        <i x="11" s="1"/>
        <i x="95" s="1"/>
        <i x="70" s="1"/>
        <i x="51" s="1"/>
        <i x="16" s="1"/>
        <i x="30" s="1"/>
        <i x="25" s="1"/>
        <i x="84" s="1"/>
        <i x="24" s="1"/>
        <i x="19" s="1"/>
        <i x="9" s="1"/>
        <i x="21" s="1"/>
        <i x="99" s="1"/>
        <i x="8" s="1"/>
        <i x="81" s="1"/>
        <i x="41" s="1"/>
        <i x="96" s="1"/>
        <i x="14" s="1"/>
        <i x="22" s="1"/>
        <i x="82" s="1"/>
        <i x="28" s="1"/>
        <i x="20" s="1"/>
        <i x="80" s="1"/>
        <i x="40" s="1"/>
        <i x="78" s="1"/>
        <i x="47" s="1"/>
        <i x="42" s="1"/>
        <i x="50"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1496EF1-A4B7-43C7-8A35-1C716728F555}" sourceName="genre">
  <pivotTables>
    <pivotTable tabId="9" name="PivotTable9"/>
    <pivotTable tabId="6" name="PivotTable6"/>
    <pivotTable tabId="5" name="PivotTable5"/>
    <pivotTable tabId="8" name="PivotTable8"/>
    <pivotTable tabId="3" name="PivotTable3"/>
    <pivotTable tabId="4" name="PivotTable4"/>
    <pivotTable tabId="7" name="PivotTable7"/>
  </pivotTables>
  <data>
    <tabular pivotCacheId="605723610">
      <items count="39">
        <i x="1" s="1"/>
        <i x="11" s="1"/>
        <i x="10" s="1"/>
        <i x="36" s="1"/>
        <i x="22" s="1"/>
        <i x="14" s="1"/>
        <i x="33" s="1"/>
        <i x="15" s="1"/>
        <i x="19" s="1"/>
        <i x="37" s="1"/>
        <i x="16" s="1"/>
        <i x="25" s="1"/>
        <i x="27" s="1"/>
        <i x="20" s="1"/>
        <i x="30" s="1"/>
        <i x="32" s="1"/>
        <i x="17" s="1"/>
        <i x="7" s="1"/>
        <i x="21" s="1"/>
        <i x="0" s="1"/>
        <i x="31" s="1"/>
        <i x="12" s="1"/>
        <i x="24" s="1"/>
        <i x="5" s="1"/>
        <i x="3" s="1"/>
        <i x="26" s="1"/>
        <i x="13" s="1"/>
        <i x="23" s="1"/>
        <i x="6" s="1"/>
        <i x="8" s="1"/>
        <i x="18" s="1"/>
        <i x="9" s="1"/>
        <i x="38" s="1"/>
        <i x="35" s="1"/>
        <i x="29" s="1"/>
        <i x="28" s="1"/>
        <i x="4" s="1"/>
        <i x="3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FE88AB9-E98E-486B-BB50-73D2E31C7EB1}" sourceName="country">
  <pivotTables>
    <pivotTable tabId="9" name="PivotTable9"/>
    <pivotTable tabId="6" name="PivotTable6"/>
    <pivotTable tabId="5" name="PivotTable5"/>
    <pivotTable tabId="8" name="PivotTable8"/>
    <pivotTable tabId="3" name="PivotTable3"/>
    <pivotTable tabId="4" name="PivotTable4"/>
    <pivotTable tabId="7" name="PivotTable7"/>
  </pivotTables>
  <data>
    <tabular pivotCacheId="605723610">
      <items count="19">
        <i x="7" s="1"/>
        <i x="10" s="1"/>
        <i x="12" s="1"/>
        <i x="14" s="1"/>
        <i x="2" s="1"/>
        <i x="1" s="1"/>
        <i x="16" s="1"/>
        <i x="6" s="1"/>
        <i x="17" s="1"/>
        <i x="9" s="1"/>
        <i x="8" s="1"/>
        <i x="13" s="1"/>
        <i x="0" s="1"/>
        <i x="15" s="1"/>
        <i x="11" s="1"/>
        <i x="18" s="1"/>
        <i x="4"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nd" xr10:uid="{49166A55-D0A9-4A02-AF97-000489371567}" sourceName="trend">
  <pivotTables>
    <pivotTable tabId="9" name="PivotTable9"/>
    <pivotTable tabId="6" name="PivotTable6"/>
    <pivotTable tabId="5" name="PivotTable5"/>
    <pivotTable tabId="8" name="PivotTable8"/>
    <pivotTable tabId="3" name="PivotTable3"/>
    <pivotTable tabId="4" name="PivotTable4"/>
    <pivotTable tabId="7" name="PivotTable7"/>
  </pivotTables>
  <data>
    <tabular pivotCacheId="60572361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_name" xr10:uid="{6C66BAC8-D788-4CAC-99B6-F034EEFFAC7D}" cache="Slicer_artist_name" caption="artist_name" startItem="14" style="Slicer Style 2" rowHeight="234950"/>
  <slicer name="genre" xr10:uid="{AD10D431-BDA4-43D4-B6F5-B8E26D7BEF9E}" cache="Slicer_genre" caption="genre" style="Slicer Style 2" rowHeight="234950"/>
  <slicer name="country" xr10:uid="{539644B0-CFD9-43BE-9437-F4969117C23E}" cache="Slicer_country" caption="country" style="Slicer Style 2" rowHeight="234950"/>
  <slicer name="trend" xr10:uid="{90C6F8C2-334D-4BAC-8BF5-D7ACA31B9BB7}" cache="Slicer_trend" caption="trend"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A7702B2-1340-42AF-BC00-883449D4ABE5}" cache="Slicer_country" caption="country" style="Slicer Style 2" rowHeight="234950"/>
  <slicer name="trend 1" xr10:uid="{11529909-A428-4221-8026-75C8ECA514FE}" cache="Slicer_trend" caption="trend"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633C70-D5E6-416F-9B97-556D4676F572}" name="spotify_global_trends__1" displayName="spotify_global_trends__1" ref="A1:M179" tableType="queryTable" totalsRowShown="0">
  <tableColumns count="13">
    <tableColumn id="1" xr3:uid="{FFE9E1C2-71CB-4836-B8DB-2D919FB90605}" uniqueName="1" name="track_name" queryTableFieldId="1" dataDxfId="6"/>
    <tableColumn id="2" xr3:uid="{6FF6808D-7531-4995-9586-FE9A86E8473A}" uniqueName="2" name="artist_name" queryTableFieldId="2" dataDxfId="5"/>
    <tableColumn id="3" xr3:uid="{EBD86250-56C8-4F33-B30B-0C3A97A41353}" uniqueName="3" name="streams" queryTableFieldId="3"/>
    <tableColumn id="4" xr3:uid="{6894A87C-6953-4EC5-BC15-821690831E2E}" uniqueName="4" name="stream_change" queryTableFieldId="4"/>
    <tableColumn id="5" xr3:uid="{CBABA1AC-5759-4805-95B5-684E3DF1D9E7}" uniqueName="5" name="7day" queryTableFieldId="5"/>
    <tableColumn id="6" xr3:uid="{265E8FBA-31A7-4DD6-80DE-032A30EC2EC1}" uniqueName="6" name="genre" queryTableFieldId="6" dataDxfId="4"/>
    <tableColumn id="7" xr3:uid="{14291519-4EFD-4D93-BC77-0118131A581A}" uniqueName="7" name="country" queryTableFieldId="7" dataDxfId="3"/>
    <tableColumn id="8" xr3:uid="{B1FCBF59-5777-4CC4-873C-2542A6C6F78C}" uniqueName="8" name="pos" queryTableFieldId="8"/>
    <tableColumn id="9" xr3:uid="{BF4E81DF-5C6C-458A-9133-F42FCDCBEC94}" uniqueName="9" name="days" queryTableFieldId="9"/>
    <tableColumn id="10" xr3:uid="{0BB2F0FC-821E-442E-A326-89AE2BB1B734}" uniqueName="10" name="viral_score" queryTableFieldId="10"/>
    <tableColumn id="11" xr3:uid="{03405779-E88B-45C3-ACC4-2607266E7627}" uniqueName="11" name="trend" queryTableFieldId="11" dataDxfId="2"/>
    <tableColumn id="12" xr3:uid="{2A87CAB2-82CD-4F18-9193-F9A87C85FA55}" uniqueName="12" name="popularity_category" queryTableFieldId="12" dataDxfId="1"/>
    <tableColumn id="13" xr3:uid="{B6936452-610E-4FB6-BC85-D968C60C33A4}" uniqueName="13" name="longevity"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9037-F7D2-470B-A7A6-0D9FDCCD351D}">
  <dimension ref="A1:M179"/>
  <sheetViews>
    <sheetView workbookViewId="0"/>
  </sheetViews>
  <sheetFormatPr defaultRowHeight="14.4" x14ac:dyDescent="0.3"/>
  <cols>
    <col min="1" max="1" width="51.21875" bestFit="1" customWidth="1"/>
    <col min="2" max="2" width="25.77734375" bestFit="1" customWidth="1"/>
    <col min="3" max="3" width="9.77734375" bestFit="1" customWidth="1"/>
    <col min="4" max="4" width="16.21875" bestFit="1" customWidth="1"/>
    <col min="5" max="5" width="9" bestFit="1" customWidth="1"/>
    <col min="6" max="6" width="18.6640625" bestFit="1" customWidth="1"/>
    <col min="7" max="7" width="9.77734375" bestFit="1" customWidth="1"/>
    <col min="8" max="8" width="6.21875" bestFit="1" customWidth="1"/>
    <col min="9" max="9" width="7.109375" bestFit="1" customWidth="1"/>
    <col min="10" max="10" width="12.21875" bestFit="1" customWidth="1"/>
    <col min="11" max="11" width="7.77734375" bestFit="1" customWidth="1"/>
    <col min="12" max="12" width="20.44140625" bestFit="1" customWidth="1"/>
    <col min="13" max="13" width="11"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t="s">
        <v>13</v>
      </c>
      <c r="B2" s="1" t="s">
        <v>14</v>
      </c>
      <c r="C2">
        <v>11273830</v>
      </c>
      <c r="D2">
        <v>-3370522</v>
      </c>
      <c r="E2">
        <v>25918182</v>
      </c>
      <c r="F2" s="1" t="s">
        <v>15</v>
      </c>
      <c r="G2" s="1" t="s">
        <v>16</v>
      </c>
      <c r="H2">
        <v>1</v>
      </c>
      <c r="I2">
        <v>2</v>
      </c>
      <c r="J2">
        <v>37192012</v>
      </c>
      <c r="K2" s="1" t="s">
        <v>17</v>
      </c>
      <c r="L2" s="1" t="s">
        <v>18</v>
      </c>
      <c r="M2" s="1" t="s">
        <v>19</v>
      </c>
    </row>
    <row r="3" spans="1:13" x14ac:dyDescent="0.3">
      <c r="A3" s="1" t="s">
        <v>20</v>
      </c>
      <c r="B3" s="1" t="s">
        <v>14</v>
      </c>
      <c r="C3">
        <v>6815694</v>
      </c>
      <c r="D3">
        <v>-4369341</v>
      </c>
      <c r="E3">
        <v>18000729</v>
      </c>
      <c r="F3" s="1" t="s">
        <v>15</v>
      </c>
      <c r="G3" s="1" t="s">
        <v>16</v>
      </c>
      <c r="H3">
        <v>2</v>
      </c>
      <c r="I3">
        <v>2</v>
      </c>
      <c r="J3">
        <v>24816423</v>
      </c>
      <c r="K3" s="1" t="s">
        <v>17</v>
      </c>
      <c r="L3" s="1" t="s">
        <v>18</v>
      </c>
      <c r="M3" s="1" t="s">
        <v>19</v>
      </c>
    </row>
    <row r="4" spans="1:13" x14ac:dyDescent="0.3">
      <c r="A4" s="1" t="s">
        <v>21</v>
      </c>
      <c r="B4" s="1" t="s">
        <v>22</v>
      </c>
      <c r="C4">
        <v>5733862</v>
      </c>
      <c r="D4">
        <v>178968</v>
      </c>
      <c r="E4">
        <v>36599831</v>
      </c>
      <c r="F4" s="1" t="s">
        <v>23</v>
      </c>
      <c r="G4" s="1" t="s">
        <v>24</v>
      </c>
      <c r="H4">
        <v>3</v>
      </c>
      <c r="I4">
        <v>119</v>
      </c>
      <c r="J4">
        <v>42333693</v>
      </c>
      <c r="K4" s="1" t="s">
        <v>25</v>
      </c>
      <c r="L4" s="1" t="s">
        <v>18</v>
      </c>
      <c r="M4" s="1" t="s">
        <v>26</v>
      </c>
    </row>
    <row r="5" spans="1:13" x14ac:dyDescent="0.3">
      <c r="A5" s="1" t="s">
        <v>27</v>
      </c>
      <c r="B5" s="1" t="s">
        <v>14</v>
      </c>
      <c r="C5">
        <v>5338608</v>
      </c>
      <c r="D5">
        <v>-3396855</v>
      </c>
      <c r="E5">
        <v>14074071</v>
      </c>
      <c r="F5" s="1" t="s">
        <v>15</v>
      </c>
      <c r="G5" s="1" t="s">
        <v>16</v>
      </c>
      <c r="H5">
        <v>4</v>
      </c>
      <c r="I5">
        <v>2</v>
      </c>
      <c r="J5">
        <v>19412679</v>
      </c>
      <c r="K5" s="1" t="s">
        <v>17</v>
      </c>
      <c r="L5" s="1" t="s">
        <v>18</v>
      </c>
      <c r="M5" s="1" t="s">
        <v>19</v>
      </c>
    </row>
    <row r="6" spans="1:13" x14ac:dyDescent="0.3">
      <c r="A6" s="1" t="s">
        <v>28</v>
      </c>
      <c r="B6" s="1" t="s">
        <v>14</v>
      </c>
      <c r="C6">
        <v>5196767</v>
      </c>
      <c r="D6">
        <v>-2873904</v>
      </c>
      <c r="E6">
        <v>13267438</v>
      </c>
      <c r="F6" s="1" t="s">
        <v>15</v>
      </c>
      <c r="G6" s="1" t="s">
        <v>16</v>
      </c>
      <c r="H6">
        <v>5</v>
      </c>
      <c r="I6">
        <v>2</v>
      </c>
      <c r="J6">
        <v>18464205</v>
      </c>
      <c r="K6" s="1" t="s">
        <v>17</v>
      </c>
      <c r="L6" s="1" t="s">
        <v>18</v>
      </c>
      <c r="M6" s="1" t="s">
        <v>19</v>
      </c>
    </row>
    <row r="7" spans="1:13" x14ac:dyDescent="0.3">
      <c r="A7" s="1" t="s">
        <v>29</v>
      </c>
      <c r="B7" s="1" t="s">
        <v>14</v>
      </c>
      <c r="C7">
        <v>4749288</v>
      </c>
      <c r="D7">
        <v>-2410388</v>
      </c>
      <c r="E7">
        <v>11908964</v>
      </c>
      <c r="F7" s="1" t="s">
        <v>15</v>
      </c>
      <c r="G7" s="1" t="s">
        <v>16</v>
      </c>
      <c r="H7">
        <v>6</v>
      </c>
      <c r="I7">
        <v>2</v>
      </c>
      <c r="J7">
        <v>16658252</v>
      </c>
      <c r="K7" s="1" t="s">
        <v>17</v>
      </c>
      <c r="L7" s="1" t="s">
        <v>30</v>
      </c>
      <c r="M7" s="1" t="s">
        <v>19</v>
      </c>
    </row>
    <row r="8" spans="1:13" x14ac:dyDescent="0.3">
      <c r="A8" s="1" t="s">
        <v>31</v>
      </c>
      <c r="B8" s="1" t="s">
        <v>32</v>
      </c>
      <c r="C8">
        <v>4738329</v>
      </c>
      <c r="D8">
        <v>-235112</v>
      </c>
      <c r="E8">
        <v>34238168</v>
      </c>
      <c r="F8" s="1" t="s">
        <v>33</v>
      </c>
      <c r="G8" s="1" t="s">
        <v>34</v>
      </c>
      <c r="H8">
        <v>7</v>
      </c>
      <c r="I8">
        <v>74</v>
      </c>
      <c r="J8">
        <v>38976497</v>
      </c>
      <c r="K8" s="1" t="s">
        <v>17</v>
      </c>
      <c r="L8" s="1" t="s">
        <v>30</v>
      </c>
      <c r="M8" s="1" t="s">
        <v>35</v>
      </c>
    </row>
    <row r="9" spans="1:13" x14ac:dyDescent="0.3">
      <c r="A9" s="1" t="s">
        <v>36</v>
      </c>
      <c r="B9" s="1" t="s">
        <v>14</v>
      </c>
      <c r="C9">
        <v>4718569</v>
      </c>
      <c r="D9">
        <v>-3036604</v>
      </c>
      <c r="E9">
        <v>12473742</v>
      </c>
      <c r="F9" s="1" t="s">
        <v>15</v>
      </c>
      <c r="G9" s="1" t="s">
        <v>16</v>
      </c>
      <c r="H9">
        <v>8</v>
      </c>
      <c r="I9">
        <v>2</v>
      </c>
      <c r="J9">
        <v>17192311</v>
      </c>
      <c r="K9" s="1" t="s">
        <v>17</v>
      </c>
      <c r="L9" s="1" t="s">
        <v>30</v>
      </c>
      <c r="M9" s="1" t="s">
        <v>19</v>
      </c>
    </row>
    <row r="10" spans="1:13" x14ac:dyDescent="0.3">
      <c r="A10" s="1" t="s">
        <v>37</v>
      </c>
      <c r="B10" s="1" t="s">
        <v>14</v>
      </c>
      <c r="C10">
        <v>4573989</v>
      </c>
      <c r="D10">
        <v>-2809104</v>
      </c>
      <c r="E10">
        <v>11957082</v>
      </c>
      <c r="F10" s="1" t="s">
        <v>15</v>
      </c>
      <c r="G10" s="1" t="s">
        <v>16</v>
      </c>
      <c r="H10">
        <v>9</v>
      </c>
      <c r="I10">
        <v>2</v>
      </c>
      <c r="J10">
        <v>16531071</v>
      </c>
      <c r="K10" s="1" t="s">
        <v>17</v>
      </c>
      <c r="L10" s="1" t="s">
        <v>30</v>
      </c>
      <c r="M10" s="1" t="s">
        <v>19</v>
      </c>
    </row>
    <row r="11" spans="1:13" x14ac:dyDescent="0.3">
      <c r="A11" s="1" t="s">
        <v>38</v>
      </c>
      <c r="B11" s="1" t="s">
        <v>14</v>
      </c>
      <c r="C11">
        <v>4567309</v>
      </c>
      <c r="D11">
        <v>-2259887</v>
      </c>
      <c r="E11">
        <v>11394505</v>
      </c>
      <c r="F11" s="1" t="s">
        <v>15</v>
      </c>
      <c r="G11" s="1" t="s">
        <v>16</v>
      </c>
      <c r="H11">
        <v>10</v>
      </c>
      <c r="I11">
        <v>2</v>
      </c>
      <c r="J11">
        <v>15961814</v>
      </c>
      <c r="K11" s="1" t="s">
        <v>17</v>
      </c>
      <c r="L11" s="1" t="s">
        <v>30</v>
      </c>
      <c r="M11" s="1" t="s">
        <v>19</v>
      </c>
    </row>
    <row r="12" spans="1:13" x14ac:dyDescent="0.3">
      <c r="A12" s="1" t="s">
        <v>39</v>
      </c>
      <c r="B12" s="1" t="s">
        <v>14</v>
      </c>
      <c r="C12">
        <v>4490039</v>
      </c>
      <c r="D12">
        <v>-2740868</v>
      </c>
      <c r="E12">
        <v>11720946</v>
      </c>
      <c r="F12" s="1" t="s">
        <v>15</v>
      </c>
      <c r="G12" s="1" t="s">
        <v>16</v>
      </c>
      <c r="H12">
        <v>11</v>
      </c>
      <c r="I12">
        <v>2</v>
      </c>
      <c r="J12">
        <v>16210985</v>
      </c>
      <c r="K12" s="1" t="s">
        <v>17</v>
      </c>
      <c r="L12" s="1" t="s">
        <v>30</v>
      </c>
      <c r="M12" s="1" t="s">
        <v>19</v>
      </c>
    </row>
    <row r="13" spans="1:13" x14ac:dyDescent="0.3">
      <c r="A13" s="1" t="s">
        <v>40</v>
      </c>
      <c r="B13" s="1" t="s">
        <v>14</v>
      </c>
      <c r="C13">
        <v>4423675</v>
      </c>
      <c r="D13">
        <v>-2305775</v>
      </c>
      <c r="E13">
        <v>11153125</v>
      </c>
      <c r="F13" s="1" t="s">
        <v>15</v>
      </c>
      <c r="G13" s="1" t="s">
        <v>16</v>
      </c>
      <c r="H13">
        <v>12</v>
      </c>
      <c r="I13">
        <v>2</v>
      </c>
      <c r="J13">
        <v>15576800</v>
      </c>
      <c r="K13" s="1" t="s">
        <v>17</v>
      </c>
      <c r="L13" s="1" t="s">
        <v>30</v>
      </c>
      <c r="M13" s="1" t="s">
        <v>19</v>
      </c>
    </row>
    <row r="14" spans="1:13" x14ac:dyDescent="0.3">
      <c r="A14" s="1" t="s">
        <v>41</v>
      </c>
      <c r="B14" s="1" t="s">
        <v>42</v>
      </c>
      <c r="C14">
        <v>4300853</v>
      </c>
      <c r="D14">
        <v>-86237</v>
      </c>
      <c r="E14">
        <v>28683798</v>
      </c>
      <c r="F14" s="1" t="s">
        <v>43</v>
      </c>
      <c r="G14" s="1" t="s">
        <v>44</v>
      </c>
      <c r="H14">
        <v>13</v>
      </c>
      <c r="I14">
        <v>214</v>
      </c>
      <c r="J14">
        <v>32984651</v>
      </c>
      <c r="K14" s="1" t="s">
        <v>17</v>
      </c>
      <c r="L14" s="1" t="s">
        <v>30</v>
      </c>
      <c r="M14" s="1" t="s">
        <v>26</v>
      </c>
    </row>
    <row r="15" spans="1:13" x14ac:dyDescent="0.3">
      <c r="A15" s="1" t="s">
        <v>45</v>
      </c>
      <c r="B15" s="1" t="s">
        <v>46</v>
      </c>
      <c r="C15">
        <v>4274742</v>
      </c>
      <c r="D15">
        <v>-111657</v>
      </c>
      <c r="E15">
        <v>29551375</v>
      </c>
      <c r="F15" s="1" t="s">
        <v>43</v>
      </c>
      <c r="G15" s="1" t="s">
        <v>47</v>
      </c>
      <c r="H15">
        <v>14</v>
      </c>
      <c r="I15">
        <v>441</v>
      </c>
      <c r="J15">
        <v>33826117</v>
      </c>
      <c r="K15" s="1" t="s">
        <v>17</v>
      </c>
      <c r="L15" s="1" t="s">
        <v>30</v>
      </c>
      <c r="M15" s="1" t="s">
        <v>26</v>
      </c>
    </row>
    <row r="16" spans="1:13" x14ac:dyDescent="0.3">
      <c r="A16" s="1" t="s">
        <v>48</v>
      </c>
      <c r="B16" s="1" t="s">
        <v>49</v>
      </c>
      <c r="C16">
        <v>4108838</v>
      </c>
      <c r="D16">
        <v>51706</v>
      </c>
      <c r="E16">
        <v>27783861</v>
      </c>
      <c r="F16" s="1" t="s">
        <v>50</v>
      </c>
      <c r="G16" s="1" t="s">
        <v>44</v>
      </c>
      <c r="H16">
        <v>15</v>
      </c>
      <c r="I16">
        <v>764</v>
      </c>
      <c r="J16">
        <v>31892699</v>
      </c>
      <c r="K16" s="1" t="s">
        <v>25</v>
      </c>
      <c r="L16" s="1" t="s">
        <v>30</v>
      </c>
      <c r="M16" s="1" t="s">
        <v>26</v>
      </c>
    </row>
    <row r="17" spans="1:13" x14ac:dyDescent="0.3">
      <c r="A17" s="1" t="s">
        <v>51</v>
      </c>
      <c r="B17" s="1" t="s">
        <v>52</v>
      </c>
      <c r="C17">
        <v>4007478</v>
      </c>
      <c r="D17">
        <v>-499146</v>
      </c>
      <c r="E17">
        <v>31739152</v>
      </c>
      <c r="F17" s="1" t="s">
        <v>53</v>
      </c>
      <c r="G17" s="1" t="s">
        <v>44</v>
      </c>
      <c r="H17">
        <v>16</v>
      </c>
      <c r="I17">
        <v>23</v>
      </c>
      <c r="J17">
        <v>35746630</v>
      </c>
      <c r="K17" s="1" t="s">
        <v>17</v>
      </c>
      <c r="L17" s="1" t="s">
        <v>30</v>
      </c>
      <c r="M17" s="1" t="s">
        <v>19</v>
      </c>
    </row>
    <row r="18" spans="1:13" x14ac:dyDescent="0.3">
      <c r="A18" s="1" t="s">
        <v>54</v>
      </c>
      <c r="B18" s="1" t="s">
        <v>14</v>
      </c>
      <c r="C18">
        <v>3979999</v>
      </c>
      <c r="D18">
        <v>-2153273</v>
      </c>
      <c r="E18">
        <v>10113271</v>
      </c>
      <c r="F18" s="1" t="s">
        <v>15</v>
      </c>
      <c r="G18" s="1" t="s">
        <v>16</v>
      </c>
      <c r="H18">
        <v>17</v>
      </c>
      <c r="I18">
        <v>2</v>
      </c>
      <c r="J18">
        <v>14093270</v>
      </c>
      <c r="K18" s="1" t="s">
        <v>17</v>
      </c>
      <c r="L18" s="1" t="s">
        <v>30</v>
      </c>
      <c r="M18" s="1" t="s">
        <v>19</v>
      </c>
    </row>
    <row r="19" spans="1:13" x14ac:dyDescent="0.3">
      <c r="A19" s="1" t="s">
        <v>55</v>
      </c>
      <c r="B19" s="1" t="s">
        <v>42</v>
      </c>
      <c r="C19">
        <v>3932082</v>
      </c>
      <c r="D19">
        <v>33687</v>
      </c>
      <c r="E19">
        <v>27406397</v>
      </c>
      <c r="F19" s="1" t="s">
        <v>43</v>
      </c>
      <c r="G19" s="1" t="s">
        <v>44</v>
      </c>
      <c r="H19">
        <v>18</v>
      </c>
      <c r="I19">
        <v>176</v>
      </c>
      <c r="J19">
        <v>31338479</v>
      </c>
      <c r="K19" s="1" t="s">
        <v>25</v>
      </c>
      <c r="L19" s="1" t="s">
        <v>30</v>
      </c>
      <c r="M19" s="1" t="s">
        <v>26</v>
      </c>
    </row>
    <row r="20" spans="1:13" x14ac:dyDescent="0.3">
      <c r="A20" s="1" t="s">
        <v>56</v>
      </c>
      <c r="B20" s="1" t="s">
        <v>14</v>
      </c>
      <c r="C20">
        <v>3897341</v>
      </c>
      <c r="D20">
        <v>-2024958</v>
      </c>
      <c r="E20">
        <v>9819640</v>
      </c>
      <c r="F20" s="1" t="s">
        <v>15</v>
      </c>
      <c r="G20" s="1" t="s">
        <v>16</v>
      </c>
      <c r="H20">
        <v>19</v>
      </c>
      <c r="I20">
        <v>2</v>
      </c>
      <c r="J20">
        <v>13716981</v>
      </c>
      <c r="K20" s="1" t="s">
        <v>17</v>
      </c>
      <c r="L20" s="1" t="s">
        <v>30</v>
      </c>
      <c r="M20" s="1" t="s">
        <v>19</v>
      </c>
    </row>
    <row r="21" spans="1:13" x14ac:dyDescent="0.3">
      <c r="A21" s="1" t="s">
        <v>57</v>
      </c>
      <c r="B21" s="1" t="s">
        <v>58</v>
      </c>
      <c r="C21">
        <v>3876044</v>
      </c>
      <c r="D21">
        <v>-197505</v>
      </c>
      <c r="E21">
        <v>25945780</v>
      </c>
      <c r="F21" s="1" t="s">
        <v>59</v>
      </c>
      <c r="G21" s="1" t="s">
        <v>44</v>
      </c>
      <c r="H21">
        <v>20</v>
      </c>
      <c r="I21">
        <v>109</v>
      </c>
      <c r="J21">
        <v>29821824</v>
      </c>
      <c r="K21" s="1" t="s">
        <v>17</v>
      </c>
      <c r="L21" s="1" t="s">
        <v>30</v>
      </c>
      <c r="M21" s="1" t="s">
        <v>26</v>
      </c>
    </row>
    <row r="22" spans="1:13" x14ac:dyDescent="0.3">
      <c r="A22" s="1" t="s">
        <v>60</v>
      </c>
      <c r="B22" s="1" t="s">
        <v>14</v>
      </c>
      <c r="C22">
        <v>3769141</v>
      </c>
      <c r="D22">
        <v>-2733812</v>
      </c>
      <c r="E22">
        <v>10272094</v>
      </c>
      <c r="F22" s="1" t="s">
        <v>15</v>
      </c>
      <c r="G22" s="1" t="s">
        <v>16</v>
      </c>
      <c r="H22">
        <v>21</v>
      </c>
      <c r="I22">
        <v>2</v>
      </c>
      <c r="J22">
        <v>14041235</v>
      </c>
      <c r="K22" s="1" t="s">
        <v>17</v>
      </c>
      <c r="L22" s="1" t="s">
        <v>30</v>
      </c>
      <c r="M22" s="1" t="s">
        <v>19</v>
      </c>
    </row>
    <row r="23" spans="1:13" x14ac:dyDescent="0.3">
      <c r="A23" s="1" t="s">
        <v>61</v>
      </c>
      <c r="B23" s="1" t="s">
        <v>14</v>
      </c>
      <c r="C23">
        <v>3766459</v>
      </c>
      <c r="D23">
        <v>-1959266</v>
      </c>
      <c r="E23">
        <v>9492184</v>
      </c>
      <c r="F23" s="1" t="s">
        <v>15</v>
      </c>
      <c r="G23" s="1" t="s">
        <v>16</v>
      </c>
      <c r="H23">
        <v>22</v>
      </c>
      <c r="I23">
        <v>2</v>
      </c>
      <c r="J23">
        <v>13258643</v>
      </c>
      <c r="K23" s="1" t="s">
        <v>17</v>
      </c>
      <c r="L23" s="1" t="s">
        <v>30</v>
      </c>
      <c r="M23" s="1" t="s">
        <v>19</v>
      </c>
    </row>
    <row r="24" spans="1:13" x14ac:dyDescent="0.3">
      <c r="A24" s="1" t="s">
        <v>62</v>
      </c>
      <c r="B24" s="1" t="s">
        <v>63</v>
      </c>
      <c r="C24">
        <v>3721332</v>
      </c>
      <c r="D24">
        <v>-164240</v>
      </c>
      <c r="E24">
        <v>26075129</v>
      </c>
      <c r="F24" s="1" t="s">
        <v>43</v>
      </c>
      <c r="G24" s="1" t="s">
        <v>44</v>
      </c>
      <c r="H24">
        <v>23</v>
      </c>
      <c r="I24">
        <v>170</v>
      </c>
      <c r="J24">
        <v>29796461</v>
      </c>
      <c r="K24" s="1" t="s">
        <v>17</v>
      </c>
      <c r="L24" s="1" t="s">
        <v>30</v>
      </c>
      <c r="M24" s="1" t="s">
        <v>26</v>
      </c>
    </row>
    <row r="25" spans="1:13" x14ac:dyDescent="0.3">
      <c r="A25" s="1" t="s">
        <v>64</v>
      </c>
      <c r="B25" s="1" t="s">
        <v>65</v>
      </c>
      <c r="C25">
        <v>3583316</v>
      </c>
      <c r="D25">
        <v>-131585</v>
      </c>
      <c r="E25">
        <v>25787563</v>
      </c>
      <c r="F25" s="1" t="s">
        <v>66</v>
      </c>
      <c r="G25" s="1" t="s">
        <v>44</v>
      </c>
      <c r="H25">
        <v>25</v>
      </c>
      <c r="I25">
        <v>369</v>
      </c>
      <c r="J25">
        <v>29370879</v>
      </c>
      <c r="K25" s="1" t="s">
        <v>17</v>
      </c>
      <c r="L25" s="1" t="s">
        <v>30</v>
      </c>
      <c r="M25" s="1" t="s">
        <v>26</v>
      </c>
    </row>
    <row r="26" spans="1:13" x14ac:dyDescent="0.3">
      <c r="A26" s="1" t="s">
        <v>67</v>
      </c>
      <c r="B26" s="1" t="s">
        <v>46</v>
      </c>
      <c r="C26">
        <v>3344867</v>
      </c>
      <c r="D26">
        <v>-44475</v>
      </c>
      <c r="E26">
        <v>22663387</v>
      </c>
      <c r="F26" s="1" t="s">
        <v>68</v>
      </c>
      <c r="G26" s="1" t="s">
        <v>47</v>
      </c>
      <c r="H26">
        <v>26</v>
      </c>
      <c r="I26">
        <v>441</v>
      </c>
      <c r="J26">
        <v>26008254</v>
      </c>
      <c r="K26" s="1" t="s">
        <v>17</v>
      </c>
      <c r="L26" s="1" t="s">
        <v>30</v>
      </c>
      <c r="M26" s="1" t="s">
        <v>26</v>
      </c>
    </row>
    <row r="27" spans="1:13" x14ac:dyDescent="0.3">
      <c r="A27" s="1" t="s">
        <v>69</v>
      </c>
      <c r="B27" s="1" t="s">
        <v>70</v>
      </c>
      <c r="C27">
        <v>3341957</v>
      </c>
      <c r="D27">
        <v>-21457</v>
      </c>
      <c r="E27">
        <v>21857968</v>
      </c>
      <c r="F27" s="1" t="s">
        <v>43</v>
      </c>
      <c r="G27" s="1" t="s">
        <v>71</v>
      </c>
      <c r="H27">
        <v>27</v>
      </c>
      <c r="I27">
        <v>761</v>
      </c>
      <c r="J27">
        <v>25199925</v>
      </c>
      <c r="K27" s="1" t="s">
        <v>17</v>
      </c>
      <c r="L27" s="1" t="s">
        <v>30</v>
      </c>
      <c r="M27" s="1" t="s">
        <v>26</v>
      </c>
    </row>
    <row r="28" spans="1:13" x14ac:dyDescent="0.3">
      <c r="A28" s="1" t="s">
        <v>72</v>
      </c>
      <c r="B28" s="1" t="s">
        <v>73</v>
      </c>
      <c r="C28">
        <v>3241010</v>
      </c>
      <c r="D28">
        <v>5314</v>
      </c>
      <c r="E28">
        <v>22068930</v>
      </c>
      <c r="F28" s="1" t="s">
        <v>43</v>
      </c>
      <c r="G28" s="1" t="s">
        <v>74</v>
      </c>
      <c r="H28">
        <v>28</v>
      </c>
      <c r="I28">
        <v>184</v>
      </c>
      <c r="J28">
        <v>25309940</v>
      </c>
      <c r="K28" s="1" t="s">
        <v>25</v>
      </c>
      <c r="L28" s="1" t="s">
        <v>30</v>
      </c>
      <c r="M28" s="1" t="s">
        <v>26</v>
      </c>
    </row>
    <row r="29" spans="1:13" x14ac:dyDescent="0.3">
      <c r="A29" s="1" t="s">
        <v>75</v>
      </c>
      <c r="B29" s="1" t="s">
        <v>46</v>
      </c>
      <c r="C29">
        <v>3221298</v>
      </c>
      <c r="D29">
        <v>-80099</v>
      </c>
      <c r="E29">
        <v>21951925</v>
      </c>
      <c r="F29" s="1" t="s">
        <v>68</v>
      </c>
      <c r="G29" s="1" t="s">
        <v>47</v>
      </c>
      <c r="H29">
        <v>29</v>
      </c>
      <c r="I29">
        <v>441</v>
      </c>
      <c r="J29">
        <v>25173223</v>
      </c>
      <c r="K29" s="1" t="s">
        <v>17</v>
      </c>
      <c r="L29" s="1" t="s">
        <v>30</v>
      </c>
      <c r="M29" s="1" t="s">
        <v>26</v>
      </c>
    </row>
    <row r="30" spans="1:13" x14ac:dyDescent="0.3">
      <c r="A30" s="1" t="s">
        <v>76</v>
      </c>
      <c r="B30" s="1" t="s">
        <v>77</v>
      </c>
      <c r="C30">
        <v>3101460</v>
      </c>
      <c r="D30">
        <v>-420059</v>
      </c>
      <c r="E30">
        <v>24771218</v>
      </c>
      <c r="F30" s="1" t="s">
        <v>78</v>
      </c>
      <c r="G30" s="1" t="s">
        <v>34</v>
      </c>
      <c r="H30">
        <v>31</v>
      </c>
      <c r="I30">
        <v>16</v>
      </c>
      <c r="J30">
        <v>27872678</v>
      </c>
      <c r="K30" s="1" t="s">
        <v>17</v>
      </c>
      <c r="L30" s="1" t="s">
        <v>30</v>
      </c>
      <c r="M30" s="1" t="s">
        <v>19</v>
      </c>
    </row>
    <row r="31" spans="1:13" x14ac:dyDescent="0.3">
      <c r="A31" s="1" t="s">
        <v>79</v>
      </c>
      <c r="B31" s="1" t="s">
        <v>80</v>
      </c>
      <c r="C31">
        <v>2978129</v>
      </c>
      <c r="D31">
        <v>-293545</v>
      </c>
      <c r="E31">
        <v>22515039</v>
      </c>
      <c r="F31" s="1" t="s">
        <v>81</v>
      </c>
      <c r="G31" s="1" t="s">
        <v>44</v>
      </c>
      <c r="H31">
        <v>32</v>
      </c>
      <c r="I31">
        <v>30</v>
      </c>
      <c r="J31">
        <v>25493168</v>
      </c>
      <c r="K31" s="1" t="s">
        <v>17</v>
      </c>
      <c r="L31" s="1" t="s">
        <v>30</v>
      </c>
      <c r="M31" s="1" t="s">
        <v>19</v>
      </c>
    </row>
    <row r="32" spans="1:13" x14ac:dyDescent="0.3">
      <c r="A32" s="1" t="s">
        <v>82</v>
      </c>
      <c r="B32" s="1" t="s">
        <v>52</v>
      </c>
      <c r="C32">
        <v>2860193</v>
      </c>
      <c r="D32">
        <v>-16107</v>
      </c>
      <c r="E32">
        <v>19846361</v>
      </c>
      <c r="F32" s="1" t="s">
        <v>43</v>
      </c>
      <c r="G32" s="1" t="s">
        <v>44</v>
      </c>
      <c r="H32">
        <v>33</v>
      </c>
      <c r="I32">
        <v>72</v>
      </c>
      <c r="J32">
        <v>22706554</v>
      </c>
      <c r="K32" s="1" t="s">
        <v>17</v>
      </c>
      <c r="L32" s="1" t="s">
        <v>30</v>
      </c>
      <c r="M32" s="1" t="s">
        <v>35</v>
      </c>
    </row>
    <row r="33" spans="1:13" x14ac:dyDescent="0.3">
      <c r="A33" s="1" t="s">
        <v>83</v>
      </c>
      <c r="B33" s="1" t="s">
        <v>84</v>
      </c>
      <c r="C33">
        <v>2776320</v>
      </c>
      <c r="D33">
        <v>-126309</v>
      </c>
      <c r="E33">
        <v>19907609</v>
      </c>
      <c r="F33" s="1" t="s">
        <v>85</v>
      </c>
      <c r="G33" s="1" t="s">
        <v>44</v>
      </c>
      <c r="H33">
        <v>34</v>
      </c>
      <c r="I33">
        <v>919</v>
      </c>
      <c r="J33">
        <v>22683929</v>
      </c>
      <c r="K33" s="1" t="s">
        <v>17</v>
      </c>
      <c r="L33" s="1" t="s">
        <v>30</v>
      </c>
      <c r="M33" s="1" t="s">
        <v>26</v>
      </c>
    </row>
    <row r="34" spans="1:13" x14ac:dyDescent="0.3">
      <c r="A34" s="1" t="s">
        <v>86</v>
      </c>
      <c r="B34" s="1" t="s">
        <v>87</v>
      </c>
      <c r="C34">
        <v>2691880</v>
      </c>
      <c r="D34">
        <v>-142292</v>
      </c>
      <c r="E34">
        <v>19325340</v>
      </c>
      <c r="F34" s="1" t="s">
        <v>43</v>
      </c>
      <c r="G34" s="1" t="s">
        <v>44</v>
      </c>
      <c r="H34">
        <v>35</v>
      </c>
      <c r="I34">
        <v>583</v>
      </c>
      <c r="J34">
        <v>22017220</v>
      </c>
      <c r="K34" s="1" t="s">
        <v>17</v>
      </c>
      <c r="L34" s="1" t="s">
        <v>30</v>
      </c>
      <c r="M34" s="1" t="s">
        <v>26</v>
      </c>
    </row>
    <row r="35" spans="1:13" x14ac:dyDescent="0.3">
      <c r="A35" s="1" t="s">
        <v>88</v>
      </c>
      <c r="B35" s="1" t="s">
        <v>89</v>
      </c>
      <c r="C35">
        <v>2649376</v>
      </c>
      <c r="D35">
        <v>-38989</v>
      </c>
      <c r="E35">
        <v>17388953</v>
      </c>
      <c r="F35" s="1" t="s">
        <v>43</v>
      </c>
      <c r="G35" s="1" t="s">
        <v>44</v>
      </c>
      <c r="H35">
        <v>36</v>
      </c>
      <c r="I35">
        <v>289</v>
      </c>
      <c r="J35">
        <v>20038329</v>
      </c>
      <c r="K35" s="1" t="s">
        <v>17</v>
      </c>
      <c r="L35" s="1" t="s">
        <v>30</v>
      </c>
      <c r="M35" s="1" t="s">
        <v>26</v>
      </c>
    </row>
    <row r="36" spans="1:13" x14ac:dyDescent="0.3">
      <c r="A36" s="1" t="s">
        <v>90</v>
      </c>
      <c r="B36" s="1" t="s">
        <v>46</v>
      </c>
      <c r="C36">
        <v>2649180</v>
      </c>
      <c r="D36">
        <v>-7253</v>
      </c>
      <c r="E36">
        <v>17660827</v>
      </c>
      <c r="F36" s="1" t="s">
        <v>68</v>
      </c>
      <c r="G36" s="1" t="s">
        <v>47</v>
      </c>
      <c r="H36">
        <v>37</v>
      </c>
      <c r="I36">
        <v>483</v>
      </c>
      <c r="J36">
        <v>20310007</v>
      </c>
      <c r="K36" s="1" t="s">
        <v>17</v>
      </c>
      <c r="L36" s="1" t="s">
        <v>30</v>
      </c>
      <c r="M36" s="1" t="s">
        <v>26</v>
      </c>
    </row>
    <row r="37" spans="1:13" x14ac:dyDescent="0.3">
      <c r="A37" s="1" t="s">
        <v>91</v>
      </c>
      <c r="B37" s="1" t="s">
        <v>92</v>
      </c>
      <c r="C37">
        <v>2547681</v>
      </c>
      <c r="D37">
        <v>-24120</v>
      </c>
      <c r="E37">
        <v>17684406</v>
      </c>
      <c r="F37" s="1" t="s">
        <v>43</v>
      </c>
      <c r="G37" s="1" t="s">
        <v>44</v>
      </c>
      <c r="H37">
        <v>38</v>
      </c>
      <c r="I37">
        <v>368</v>
      </c>
      <c r="J37">
        <v>20232087</v>
      </c>
      <c r="K37" s="1" t="s">
        <v>17</v>
      </c>
      <c r="L37" s="1" t="s">
        <v>30</v>
      </c>
      <c r="M37" s="1" t="s">
        <v>26</v>
      </c>
    </row>
    <row r="38" spans="1:13" x14ac:dyDescent="0.3">
      <c r="A38" s="1" t="s">
        <v>93</v>
      </c>
      <c r="B38" s="1" t="s">
        <v>46</v>
      </c>
      <c r="C38">
        <v>2542905</v>
      </c>
      <c r="D38">
        <v>-123890</v>
      </c>
      <c r="E38">
        <v>17968199</v>
      </c>
      <c r="F38" s="1" t="s">
        <v>81</v>
      </c>
      <c r="G38" s="1" t="s">
        <v>47</v>
      </c>
      <c r="H38">
        <v>39</v>
      </c>
      <c r="I38">
        <v>437</v>
      </c>
      <c r="J38">
        <v>20511104</v>
      </c>
      <c r="K38" s="1" t="s">
        <v>17</v>
      </c>
      <c r="L38" s="1" t="s">
        <v>30</v>
      </c>
      <c r="M38" s="1" t="s">
        <v>26</v>
      </c>
    </row>
    <row r="39" spans="1:13" x14ac:dyDescent="0.3">
      <c r="A39" s="1" t="s">
        <v>94</v>
      </c>
      <c r="B39" s="1" t="s">
        <v>22</v>
      </c>
      <c r="C39">
        <v>2531236</v>
      </c>
      <c r="D39">
        <v>-178737</v>
      </c>
      <c r="E39">
        <v>17360808</v>
      </c>
      <c r="F39" s="1" t="s">
        <v>53</v>
      </c>
      <c r="G39" s="1" t="s">
        <v>24</v>
      </c>
      <c r="H39">
        <v>40</v>
      </c>
      <c r="I39">
        <v>28</v>
      </c>
      <c r="J39">
        <v>19892044</v>
      </c>
      <c r="K39" s="1" t="s">
        <v>17</v>
      </c>
      <c r="L39" s="1" t="s">
        <v>30</v>
      </c>
      <c r="M39" s="1" t="s">
        <v>19</v>
      </c>
    </row>
    <row r="40" spans="1:13" x14ac:dyDescent="0.3">
      <c r="A40" s="1" t="s">
        <v>95</v>
      </c>
      <c r="B40" s="1" t="s">
        <v>96</v>
      </c>
      <c r="C40">
        <v>2529075</v>
      </c>
      <c r="D40">
        <v>24180</v>
      </c>
      <c r="E40">
        <v>17056445</v>
      </c>
      <c r="F40" s="1" t="s">
        <v>23</v>
      </c>
      <c r="G40" s="1" t="s">
        <v>44</v>
      </c>
      <c r="H40">
        <v>41</v>
      </c>
      <c r="I40">
        <v>674</v>
      </c>
      <c r="J40">
        <v>19585520</v>
      </c>
      <c r="K40" s="1" t="s">
        <v>25</v>
      </c>
      <c r="L40" s="1" t="s">
        <v>30</v>
      </c>
      <c r="M40" s="1" t="s">
        <v>26</v>
      </c>
    </row>
    <row r="41" spans="1:13" x14ac:dyDescent="0.3">
      <c r="A41" s="1" t="s">
        <v>97</v>
      </c>
      <c r="B41" s="1" t="s">
        <v>98</v>
      </c>
      <c r="C41">
        <v>2398309</v>
      </c>
      <c r="D41">
        <v>-322885</v>
      </c>
      <c r="E41">
        <v>19212395</v>
      </c>
      <c r="F41" s="1" t="s">
        <v>43</v>
      </c>
      <c r="G41" s="1" t="s">
        <v>74</v>
      </c>
      <c r="H41">
        <v>43</v>
      </c>
      <c r="I41">
        <v>102</v>
      </c>
      <c r="J41">
        <v>21610704</v>
      </c>
      <c r="K41" s="1" t="s">
        <v>17</v>
      </c>
      <c r="L41" s="1" t="s">
        <v>30</v>
      </c>
      <c r="M41" s="1" t="s">
        <v>26</v>
      </c>
    </row>
    <row r="42" spans="1:13" x14ac:dyDescent="0.3">
      <c r="A42" s="1" t="s">
        <v>99</v>
      </c>
      <c r="B42" s="1" t="s">
        <v>100</v>
      </c>
      <c r="C42">
        <v>2367833</v>
      </c>
      <c r="D42">
        <v>25446</v>
      </c>
      <c r="E42">
        <v>16070168</v>
      </c>
      <c r="F42" s="1" t="s">
        <v>101</v>
      </c>
      <c r="G42" s="1" t="s">
        <v>74</v>
      </c>
      <c r="H42">
        <v>44</v>
      </c>
      <c r="I42">
        <v>1619</v>
      </c>
      <c r="J42">
        <v>18438001</v>
      </c>
      <c r="K42" s="1" t="s">
        <v>25</v>
      </c>
      <c r="L42" s="1" t="s">
        <v>30</v>
      </c>
      <c r="M42" s="1" t="s">
        <v>26</v>
      </c>
    </row>
    <row r="43" spans="1:13" x14ac:dyDescent="0.3">
      <c r="A43" s="1" t="s">
        <v>102</v>
      </c>
      <c r="B43" s="1" t="s">
        <v>103</v>
      </c>
      <c r="C43">
        <v>2332341</v>
      </c>
      <c r="D43">
        <v>-89323</v>
      </c>
      <c r="E43">
        <v>15767565</v>
      </c>
      <c r="F43" s="1" t="s">
        <v>104</v>
      </c>
      <c r="G43" s="1" t="s">
        <v>105</v>
      </c>
      <c r="H43">
        <v>45</v>
      </c>
      <c r="I43">
        <v>36</v>
      </c>
      <c r="J43">
        <v>18099906</v>
      </c>
      <c r="K43" s="1" t="s">
        <v>17</v>
      </c>
      <c r="L43" s="1" t="s">
        <v>30</v>
      </c>
      <c r="M43" s="1" t="s">
        <v>35</v>
      </c>
    </row>
    <row r="44" spans="1:13" x14ac:dyDescent="0.3">
      <c r="A44" s="1" t="s">
        <v>106</v>
      </c>
      <c r="B44" s="1" t="s">
        <v>65</v>
      </c>
      <c r="C44">
        <v>2260402</v>
      </c>
      <c r="D44">
        <v>-86182</v>
      </c>
      <c r="E44">
        <v>15853606</v>
      </c>
      <c r="F44" s="1" t="s">
        <v>66</v>
      </c>
      <c r="G44" s="1" t="s">
        <v>44</v>
      </c>
      <c r="H44">
        <v>46</v>
      </c>
      <c r="I44">
        <v>236</v>
      </c>
      <c r="J44">
        <v>18114008</v>
      </c>
      <c r="K44" s="1" t="s">
        <v>17</v>
      </c>
      <c r="L44" s="1" t="s">
        <v>30</v>
      </c>
      <c r="M44" s="1" t="s">
        <v>26</v>
      </c>
    </row>
    <row r="45" spans="1:13" x14ac:dyDescent="0.3">
      <c r="A45" s="1" t="s">
        <v>107</v>
      </c>
      <c r="B45" s="1" t="s">
        <v>108</v>
      </c>
      <c r="C45">
        <v>2220784</v>
      </c>
      <c r="D45">
        <v>-28156</v>
      </c>
      <c r="E45">
        <v>14355698</v>
      </c>
      <c r="F45" s="1" t="s">
        <v>78</v>
      </c>
      <c r="G45" s="1" t="s">
        <v>74</v>
      </c>
      <c r="H45">
        <v>47</v>
      </c>
      <c r="I45">
        <v>1682</v>
      </c>
      <c r="J45">
        <v>16576482</v>
      </c>
      <c r="K45" s="1" t="s">
        <v>17</v>
      </c>
      <c r="L45" s="1" t="s">
        <v>30</v>
      </c>
      <c r="M45" s="1" t="s">
        <v>26</v>
      </c>
    </row>
    <row r="46" spans="1:13" x14ac:dyDescent="0.3">
      <c r="A46" s="1" t="s">
        <v>109</v>
      </c>
      <c r="B46" s="1" t="s">
        <v>89</v>
      </c>
      <c r="C46">
        <v>2213750</v>
      </c>
      <c r="D46">
        <v>90339</v>
      </c>
      <c r="E46">
        <v>13566149</v>
      </c>
      <c r="F46" s="1" t="s">
        <v>43</v>
      </c>
      <c r="G46" s="1" t="s">
        <v>44</v>
      </c>
      <c r="H46">
        <v>48</v>
      </c>
      <c r="I46">
        <v>709</v>
      </c>
      <c r="J46">
        <v>15779899</v>
      </c>
      <c r="K46" s="1" t="s">
        <v>25</v>
      </c>
      <c r="L46" s="1" t="s">
        <v>30</v>
      </c>
      <c r="M46" s="1" t="s">
        <v>26</v>
      </c>
    </row>
    <row r="47" spans="1:13" x14ac:dyDescent="0.3">
      <c r="A47" s="1" t="s">
        <v>110</v>
      </c>
      <c r="B47" s="1" t="s">
        <v>111</v>
      </c>
      <c r="C47">
        <v>2169091</v>
      </c>
      <c r="D47">
        <v>10331</v>
      </c>
      <c r="E47">
        <v>13900513</v>
      </c>
      <c r="F47" s="1" t="s">
        <v>112</v>
      </c>
      <c r="G47" s="1" t="s">
        <v>44</v>
      </c>
      <c r="H47">
        <v>49</v>
      </c>
      <c r="I47">
        <v>80</v>
      </c>
      <c r="J47">
        <v>16069604</v>
      </c>
      <c r="K47" s="1" t="s">
        <v>25</v>
      </c>
      <c r="L47" s="1" t="s">
        <v>30</v>
      </c>
      <c r="M47" s="1" t="s">
        <v>35</v>
      </c>
    </row>
    <row r="48" spans="1:13" x14ac:dyDescent="0.3">
      <c r="A48" s="1" t="s">
        <v>113</v>
      </c>
      <c r="B48" s="1" t="s">
        <v>114</v>
      </c>
      <c r="C48">
        <v>2155500</v>
      </c>
      <c r="D48">
        <v>-138406</v>
      </c>
      <c r="E48">
        <v>15647967</v>
      </c>
      <c r="F48" s="1" t="s">
        <v>66</v>
      </c>
      <c r="G48" s="1" t="s">
        <v>44</v>
      </c>
      <c r="H48">
        <v>50</v>
      </c>
      <c r="I48">
        <v>104</v>
      </c>
      <c r="J48">
        <v>17803467</v>
      </c>
      <c r="K48" s="1" t="s">
        <v>17</v>
      </c>
      <c r="L48" s="1" t="s">
        <v>30</v>
      </c>
      <c r="M48" s="1" t="s">
        <v>26</v>
      </c>
    </row>
    <row r="49" spans="1:13" x14ac:dyDescent="0.3">
      <c r="A49" s="1" t="s">
        <v>115</v>
      </c>
      <c r="B49" s="1" t="s">
        <v>116</v>
      </c>
      <c r="C49">
        <v>2154338</v>
      </c>
      <c r="D49">
        <v>-112939</v>
      </c>
      <c r="E49">
        <v>14951009</v>
      </c>
      <c r="F49" s="1" t="s">
        <v>117</v>
      </c>
      <c r="G49" s="1" t="s">
        <v>118</v>
      </c>
      <c r="H49">
        <v>51</v>
      </c>
      <c r="I49">
        <v>65</v>
      </c>
      <c r="J49">
        <v>17105347</v>
      </c>
      <c r="K49" s="1" t="s">
        <v>17</v>
      </c>
      <c r="L49" s="1" t="s">
        <v>30</v>
      </c>
      <c r="M49" s="1" t="s">
        <v>35</v>
      </c>
    </row>
    <row r="50" spans="1:13" x14ac:dyDescent="0.3">
      <c r="A50" s="1" t="s">
        <v>119</v>
      </c>
      <c r="B50" s="1" t="s">
        <v>65</v>
      </c>
      <c r="C50">
        <v>2139700</v>
      </c>
      <c r="D50">
        <v>-220893</v>
      </c>
      <c r="E50">
        <v>15402927</v>
      </c>
      <c r="F50" s="1" t="s">
        <v>66</v>
      </c>
      <c r="G50" s="1" t="s">
        <v>44</v>
      </c>
      <c r="H50">
        <v>52</v>
      </c>
      <c r="I50">
        <v>44</v>
      </c>
      <c r="J50">
        <v>17542627</v>
      </c>
      <c r="K50" s="1" t="s">
        <v>17</v>
      </c>
      <c r="L50" s="1" t="s">
        <v>30</v>
      </c>
      <c r="M50" s="1" t="s">
        <v>35</v>
      </c>
    </row>
    <row r="51" spans="1:13" x14ac:dyDescent="0.3">
      <c r="A51" s="1" t="s">
        <v>120</v>
      </c>
      <c r="B51" s="1" t="s">
        <v>121</v>
      </c>
      <c r="C51">
        <v>2107410</v>
      </c>
      <c r="D51">
        <v>-121996</v>
      </c>
      <c r="E51">
        <v>16461691</v>
      </c>
      <c r="F51" s="1" t="s">
        <v>122</v>
      </c>
      <c r="G51" s="1" t="s">
        <v>123</v>
      </c>
      <c r="H51">
        <v>53</v>
      </c>
      <c r="I51">
        <v>581</v>
      </c>
      <c r="J51">
        <v>18569101</v>
      </c>
      <c r="K51" s="1" t="s">
        <v>17</v>
      </c>
      <c r="L51" s="1" t="s">
        <v>30</v>
      </c>
      <c r="M51" s="1" t="s">
        <v>26</v>
      </c>
    </row>
    <row r="52" spans="1:13" x14ac:dyDescent="0.3">
      <c r="A52" s="1" t="s">
        <v>124</v>
      </c>
      <c r="B52" s="1" t="s">
        <v>125</v>
      </c>
      <c r="C52">
        <v>2090231</v>
      </c>
      <c r="D52">
        <v>129461</v>
      </c>
      <c r="E52">
        <v>13021976</v>
      </c>
      <c r="F52" s="1" t="s">
        <v>43</v>
      </c>
      <c r="G52" s="1" t="s">
        <v>44</v>
      </c>
      <c r="H52">
        <v>54</v>
      </c>
      <c r="I52">
        <v>793</v>
      </c>
      <c r="J52">
        <v>15112207</v>
      </c>
      <c r="K52" s="1" t="s">
        <v>25</v>
      </c>
      <c r="L52" s="1" t="s">
        <v>30</v>
      </c>
      <c r="M52" s="1" t="s">
        <v>26</v>
      </c>
    </row>
    <row r="53" spans="1:13" x14ac:dyDescent="0.3">
      <c r="A53" s="1" t="s">
        <v>126</v>
      </c>
      <c r="B53" s="1" t="s">
        <v>127</v>
      </c>
      <c r="C53">
        <v>2068795</v>
      </c>
      <c r="D53">
        <v>-177998</v>
      </c>
      <c r="E53">
        <v>15845100</v>
      </c>
      <c r="F53" s="1" t="s">
        <v>78</v>
      </c>
      <c r="G53" s="1" t="s">
        <v>74</v>
      </c>
      <c r="H53">
        <v>56</v>
      </c>
      <c r="I53">
        <v>2120</v>
      </c>
      <c r="J53">
        <v>17913895</v>
      </c>
      <c r="K53" s="1" t="s">
        <v>17</v>
      </c>
      <c r="L53" s="1" t="s">
        <v>30</v>
      </c>
      <c r="M53" s="1" t="s">
        <v>26</v>
      </c>
    </row>
    <row r="54" spans="1:13" x14ac:dyDescent="0.3">
      <c r="A54" s="1" t="s">
        <v>128</v>
      </c>
      <c r="B54" s="1" t="s">
        <v>129</v>
      </c>
      <c r="C54">
        <v>2035423</v>
      </c>
      <c r="D54">
        <v>-105895</v>
      </c>
      <c r="E54">
        <v>13481976</v>
      </c>
      <c r="F54" s="1" t="s">
        <v>130</v>
      </c>
      <c r="G54" s="1" t="s">
        <v>131</v>
      </c>
      <c r="H54">
        <v>57</v>
      </c>
      <c r="I54">
        <v>2135</v>
      </c>
      <c r="J54">
        <v>15517399</v>
      </c>
      <c r="K54" s="1" t="s">
        <v>17</v>
      </c>
      <c r="L54" s="1" t="s">
        <v>30</v>
      </c>
      <c r="M54" s="1" t="s">
        <v>26</v>
      </c>
    </row>
    <row r="55" spans="1:13" x14ac:dyDescent="0.3">
      <c r="A55" s="1" t="s">
        <v>132</v>
      </c>
      <c r="B55" s="1" t="s">
        <v>133</v>
      </c>
      <c r="C55">
        <v>2020602</v>
      </c>
      <c r="D55">
        <v>-34643</v>
      </c>
      <c r="E55">
        <v>12610414</v>
      </c>
      <c r="F55" s="1" t="s">
        <v>78</v>
      </c>
      <c r="G55" s="1" t="s">
        <v>74</v>
      </c>
      <c r="H55">
        <v>58</v>
      </c>
      <c r="I55">
        <v>23</v>
      </c>
      <c r="J55">
        <v>14631016</v>
      </c>
      <c r="K55" s="1" t="s">
        <v>17</v>
      </c>
      <c r="L55" s="1" t="s">
        <v>30</v>
      </c>
      <c r="M55" s="1" t="s">
        <v>19</v>
      </c>
    </row>
    <row r="56" spans="1:13" x14ac:dyDescent="0.3">
      <c r="A56" s="1" t="s">
        <v>134</v>
      </c>
      <c r="B56" s="1" t="s">
        <v>135</v>
      </c>
      <c r="C56">
        <v>2011657</v>
      </c>
      <c r="D56">
        <v>-91449</v>
      </c>
      <c r="E56">
        <v>14176633</v>
      </c>
      <c r="F56" s="1" t="s">
        <v>78</v>
      </c>
      <c r="G56" s="1" t="s">
        <v>74</v>
      </c>
      <c r="H56">
        <v>59</v>
      </c>
      <c r="I56">
        <v>842</v>
      </c>
      <c r="J56">
        <v>16188290</v>
      </c>
      <c r="K56" s="1" t="s">
        <v>17</v>
      </c>
      <c r="L56" s="1" t="s">
        <v>30</v>
      </c>
      <c r="M56" s="1" t="s">
        <v>26</v>
      </c>
    </row>
    <row r="57" spans="1:13" x14ac:dyDescent="0.3">
      <c r="A57" s="1" t="s">
        <v>136</v>
      </c>
      <c r="B57" s="1" t="s">
        <v>63</v>
      </c>
      <c r="C57">
        <v>1992549</v>
      </c>
      <c r="D57">
        <v>-70008</v>
      </c>
      <c r="E57">
        <v>14093798</v>
      </c>
      <c r="F57" s="1" t="s">
        <v>43</v>
      </c>
      <c r="G57" s="1" t="s">
        <v>44</v>
      </c>
      <c r="H57">
        <v>60</v>
      </c>
      <c r="I57">
        <v>170</v>
      </c>
      <c r="J57">
        <v>16086347</v>
      </c>
      <c r="K57" s="1" t="s">
        <v>17</v>
      </c>
      <c r="L57" s="1" t="s">
        <v>30</v>
      </c>
      <c r="M57" s="1" t="s">
        <v>26</v>
      </c>
    </row>
    <row r="58" spans="1:13" x14ac:dyDescent="0.3">
      <c r="A58" s="1" t="s">
        <v>137</v>
      </c>
      <c r="B58" s="1" t="s">
        <v>138</v>
      </c>
      <c r="C58">
        <v>1992250</v>
      </c>
      <c r="D58">
        <v>-130117</v>
      </c>
      <c r="E58">
        <v>13935046</v>
      </c>
      <c r="F58" s="1" t="s">
        <v>53</v>
      </c>
      <c r="G58" s="1" t="s">
        <v>74</v>
      </c>
      <c r="H58">
        <v>61</v>
      </c>
      <c r="I58">
        <v>23</v>
      </c>
      <c r="J58">
        <v>15927296</v>
      </c>
      <c r="K58" s="1" t="s">
        <v>17</v>
      </c>
      <c r="L58" s="1" t="s">
        <v>30</v>
      </c>
      <c r="M58" s="1" t="s">
        <v>19</v>
      </c>
    </row>
    <row r="59" spans="1:13" x14ac:dyDescent="0.3">
      <c r="A59" s="1" t="s">
        <v>139</v>
      </c>
      <c r="B59" s="1" t="s">
        <v>140</v>
      </c>
      <c r="C59">
        <v>1952764</v>
      </c>
      <c r="D59">
        <v>66159</v>
      </c>
      <c r="E59">
        <v>12629601</v>
      </c>
      <c r="F59" s="1" t="s">
        <v>141</v>
      </c>
      <c r="G59" s="1" t="s">
        <v>142</v>
      </c>
      <c r="H59">
        <v>62</v>
      </c>
      <c r="I59">
        <v>86</v>
      </c>
      <c r="J59">
        <v>14582365</v>
      </c>
      <c r="K59" s="1" t="s">
        <v>25</v>
      </c>
      <c r="L59" s="1" t="s">
        <v>30</v>
      </c>
      <c r="M59" s="1" t="s">
        <v>35</v>
      </c>
    </row>
    <row r="60" spans="1:13" x14ac:dyDescent="0.3">
      <c r="A60" s="1" t="s">
        <v>143</v>
      </c>
      <c r="B60" s="1" t="s">
        <v>144</v>
      </c>
      <c r="C60">
        <v>1948495</v>
      </c>
      <c r="D60">
        <v>-127853</v>
      </c>
      <c r="E60">
        <v>13479304</v>
      </c>
      <c r="F60" s="1" t="s">
        <v>81</v>
      </c>
      <c r="G60" s="1" t="s">
        <v>44</v>
      </c>
      <c r="H60">
        <v>63</v>
      </c>
      <c r="I60">
        <v>51</v>
      </c>
      <c r="J60">
        <v>15427799</v>
      </c>
      <c r="K60" s="1" t="s">
        <v>17</v>
      </c>
      <c r="L60" s="1" t="s">
        <v>30</v>
      </c>
      <c r="M60" s="1" t="s">
        <v>35</v>
      </c>
    </row>
    <row r="61" spans="1:13" x14ac:dyDescent="0.3">
      <c r="A61" s="1" t="s">
        <v>145</v>
      </c>
      <c r="B61" s="1" t="s">
        <v>52</v>
      </c>
      <c r="C61">
        <v>1912383</v>
      </c>
      <c r="D61">
        <v>-142486</v>
      </c>
      <c r="E61">
        <v>12699826</v>
      </c>
      <c r="F61" s="1" t="s">
        <v>43</v>
      </c>
      <c r="G61" s="1" t="s">
        <v>44</v>
      </c>
      <c r="H61">
        <v>65</v>
      </c>
      <c r="I61">
        <v>1254</v>
      </c>
      <c r="J61">
        <v>14612209</v>
      </c>
      <c r="K61" s="1" t="s">
        <v>17</v>
      </c>
      <c r="L61" s="1" t="s">
        <v>30</v>
      </c>
      <c r="M61" s="1" t="s">
        <v>26</v>
      </c>
    </row>
    <row r="62" spans="1:13" x14ac:dyDescent="0.3">
      <c r="A62" s="1" t="s">
        <v>146</v>
      </c>
      <c r="B62" s="1" t="s">
        <v>103</v>
      </c>
      <c r="C62">
        <v>1906471</v>
      </c>
      <c r="D62">
        <v>-84531</v>
      </c>
      <c r="E62">
        <v>13354497</v>
      </c>
      <c r="F62" s="1" t="s">
        <v>147</v>
      </c>
      <c r="G62" s="1" t="s">
        <v>105</v>
      </c>
      <c r="H62">
        <v>66</v>
      </c>
      <c r="I62">
        <v>138</v>
      </c>
      <c r="J62">
        <v>15260968</v>
      </c>
      <c r="K62" s="1" t="s">
        <v>17</v>
      </c>
      <c r="L62" s="1" t="s">
        <v>30</v>
      </c>
      <c r="M62" s="1" t="s">
        <v>26</v>
      </c>
    </row>
    <row r="63" spans="1:13" x14ac:dyDescent="0.3">
      <c r="A63" s="1" t="s">
        <v>148</v>
      </c>
      <c r="B63" s="1" t="s">
        <v>149</v>
      </c>
      <c r="C63">
        <v>1894536</v>
      </c>
      <c r="D63">
        <v>109844</v>
      </c>
      <c r="E63">
        <v>11986886</v>
      </c>
      <c r="F63" s="1" t="s">
        <v>78</v>
      </c>
      <c r="G63" s="1" t="s">
        <v>74</v>
      </c>
      <c r="H63">
        <v>67</v>
      </c>
      <c r="I63">
        <v>1004</v>
      </c>
      <c r="J63">
        <v>13881422</v>
      </c>
      <c r="K63" s="1" t="s">
        <v>25</v>
      </c>
      <c r="L63" s="1" t="s">
        <v>30</v>
      </c>
      <c r="M63" s="1" t="s">
        <v>26</v>
      </c>
    </row>
    <row r="64" spans="1:13" x14ac:dyDescent="0.3">
      <c r="A64" s="1" t="s">
        <v>150</v>
      </c>
      <c r="B64" s="1" t="s">
        <v>151</v>
      </c>
      <c r="C64">
        <v>1850006</v>
      </c>
      <c r="D64">
        <v>60664</v>
      </c>
      <c r="E64">
        <v>12468922</v>
      </c>
      <c r="F64" s="1" t="s">
        <v>152</v>
      </c>
      <c r="G64" s="1" t="s">
        <v>44</v>
      </c>
      <c r="H64">
        <v>68</v>
      </c>
      <c r="I64">
        <v>275</v>
      </c>
      <c r="J64">
        <v>14318928</v>
      </c>
      <c r="K64" s="1" t="s">
        <v>25</v>
      </c>
      <c r="L64" s="1" t="s">
        <v>30</v>
      </c>
      <c r="M64" s="1" t="s">
        <v>26</v>
      </c>
    </row>
    <row r="65" spans="1:13" x14ac:dyDescent="0.3">
      <c r="A65" s="1" t="s">
        <v>153</v>
      </c>
      <c r="B65" s="1" t="s">
        <v>154</v>
      </c>
      <c r="C65">
        <v>1828666</v>
      </c>
      <c r="D65">
        <v>-99526</v>
      </c>
      <c r="E65">
        <v>12862160</v>
      </c>
      <c r="F65" s="1" t="s">
        <v>85</v>
      </c>
      <c r="G65" s="1" t="s">
        <v>74</v>
      </c>
      <c r="H65">
        <v>69</v>
      </c>
      <c r="I65">
        <v>1909</v>
      </c>
      <c r="J65">
        <v>14690826</v>
      </c>
      <c r="K65" s="1" t="s">
        <v>17</v>
      </c>
      <c r="L65" s="1" t="s">
        <v>30</v>
      </c>
      <c r="M65" s="1" t="s">
        <v>26</v>
      </c>
    </row>
    <row r="66" spans="1:13" x14ac:dyDescent="0.3">
      <c r="A66" s="1" t="s">
        <v>155</v>
      </c>
      <c r="B66" s="1" t="s">
        <v>52</v>
      </c>
      <c r="C66">
        <v>1827015</v>
      </c>
      <c r="D66">
        <v>-180903</v>
      </c>
      <c r="E66">
        <v>13448378</v>
      </c>
      <c r="F66" s="1" t="s">
        <v>43</v>
      </c>
      <c r="G66" s="1" t="s">
        <v>44</v>
      </c>
      <c r="H66">
        <v>70</v>
      </c>
      <c r="I66">
        <v>1548</v>
      </c>
      <c r="J66">
        <v>15275393</v>
      </c>
      <c r="K66" s="1" t="s">
        <v>17</v>
      </c>
      <c r="L66" s="1" t="s">
        <v>30</v>
      </c>
      <c r="M66" s="1" t="s">
        <v>26</v>
      </c>
    </row>
    <row r="67" spans="1:13" x14ac:dyDescent="0.3">
      <c r="A67" s="1" t="s">
        <v>156</v>
      </c>
      <c r="B67" s="1" t="s">
        <v>157</v>
      </c>
      <c r="C67">
        <v>1825413</v>
      </c>
      <c r="D67">
        <v>-80003</v>
      </c>
      <c r="E67">
        <v>13563046</v>
      </c>
      <c r="F67" s="1" t="s">
        <v>158</v>
      </c>
      <c r="G67" s="1" t="s">
        <v>74</v>
      </c>
      <c r="H67">
        <v>71</v>
      </c>
      <c r="I67">
        <v>1354</v>
      </c>
      <c r="J67">
        <v>15388459</v>
      </c>
      <c r="K67" s="1" t="s">
        <v>17</v>
      </c>
      <c r="L67" s="1" t="s">
        <v>30</v>
      </c>
      <c r="M67" s="1" t="s">
        <v>26</v>
      </c>
    </row>
    <row r="68" spans="1:13" x14ac:dyDescent="0.3">
      <c r="A68" s="1" t="s">
        <v>159</v>
      </c>
      <c r="B68" s="1" t="s">
        <v>160</v>
      </c>
      <c r="C68">
        <v>1807214</v>
      </c>
      <c r="D68">
        <v>176731</v>
      </c>
      <c r="E68">
        <v>11524586</v>
      </c>
      <c r="F68" s="1" t="s">
        <v>161</v>
      </c>
      <c r="G68" s="1" t="s">
        <v>16</v>
      </c>
      <c r="H68">
        <v>72</v>
      </c>
      <c r="I68">
        <v>611</v>
      </c>
      <c r="J68">
        <v>13331800</v>
      </c>
      <c r="K68" s="1" t="s">
        <v>25</v>
      </c>
      <c r="L68" s="1" t="s">
        <v>30</v>
      </c>
      <c r="M68" s="1" t="s">
        <v>26</v>
      </c>
    </row>
    <row r="69" spans="1:13" x14ac:dyDescent="0.3">
      <c r="A69" s="1" t="s">
        <v>162</v>
      </c>
      <c r="B69" s="1" t="s">
        <v>46</v>
      </c>
      <c r="C69">
        <v>1780848</v>
      </c>
      <c r="D69">
        <v>-133648</v>
      </c>
      <c r="E69">
        <v>12359622</v>
      </c>
      <c r="F69" s="1" t="s">
        <v>68</v>
      </c>
      <c r="G69" s="1" t="s">
        <v>47</v>
      </c>
      <c r="H69">
        <v>74</v>
      </c>
      <c r="I69">
        <v>375</v>
      </c>
      <c r="J69">
        <v>14140470</v>
      </c>
      <c r="K69" s="1" t="s">
        <v>17</v>
      </c>
      <c r="L69" s="1" t="s">
        <v>30</v>
      </c>
      <c r="M69" s="1" t="s">
        <v>26</v>
      </c>
    </row>
    <row r="70" spans="1:13" x14ac:dyDescent="0.3">
      <c r="A70" s="1" t="s">
        <v>163</v>
      </c>
      <c r="B70" s="1" t="s">
        <v>140</v>
      </c>
      <c r="C70">
        <v>1780764</v>
      </c>
      <c r="D70">
        <v>34375</v>
      </c>
      <c r="E70">
        <v>11510694</v>
      </c>
      <c r="F70" s="1" t="s">
        <v>141</v>
      </c>
      <c r="G70" s="1" t="s">
        <v>142</v>
      </c>
      <c r="H70">
        <v>75</v>
      </c>
      <c r="I70">
        <v>86</v>
      </c>
      <c r="J70">
        <v>13291458</v>
      </c>
      <c r="K70" s="1" t="s">
        <v>25</v>
      </c>
      <c r="L70" s="1" t="s">
        <v>30</v>
      </c>
      <c r="M70" s="1" t="s">
        <v>35</v>
      </c>
    </row>
    <row r="71" spans="1:13" x14ac:dyDescent="0.3">
      <c r="A71" s="1" t="s">
        <v>164</v>
      </c>
      <c r="B71" s="1" t="s">
        <v>165</v>
      </c>
      <c r="C71">
        <v>1761445</v>
      </c>
      <c r="D71">
        <v>-119116</v>
      </c>
      <c r="E71">
        <v>12541479</v>
      </c>
      <c r="F71" s="1" t="s">
        <v>166</v>
      </c>
      <c r="G71" s="1" t="s">
        <v>131</v>
      </c>
      <c r="H71">
        <v>76</v>
      </c>
      <c r="I71">
        <v>2095</v>
      </c>
      <c r="J71">
        <v>14302924</v>
      </c>
      <c r="K71" s="1" t="s">
        <v>17</v>
      </c>
      <c r="L71" s="1" t="s">
        <v>30</v>
      </c>
      <c r="M71" s="1" t="s">
        <v>26</v>
      </c>
    </row>
    <row r="72" spans="1:13" x14ac:dyDescent="0.3">
      <c r="A72" s="1" t="s">
        <v>167</v>
      </c>
      <c r="B72" s="1" t="s">
        <v>168</v>
      </c>
      <c r="C72">
        <v>1737868</v>
      </c>
      <c r="D72">
        <v>29374</v>
      </c>
      <c r="E72">
        <v>11380332</v>
      </c>
      <c r="F72" s="1" t="s">
        <v>43</v>
      </c>
      <c r="G72" s="1" t="s">
        <v>44</v>
      </c>
      <c r="H72">
        <v>77</v>
      </c>
      <c r="I72">
        <v>856</v>
      </c>
      <c r="J72">
        <v>13118200</v>
      </c>
      <c r="K72" s="1" t="s">
        <v>25</v>
      </c>
      <c r="L72" s="1" t="s">
        <v>30</v>
      </c>
      <c r="M72" s="1" t="s">
        <v>26</v>
      </c>
    </row>
    <row r="73" spans="1:13" x14ac:dyDescent="0.3">
      <c r="A73" s="1" t="s">
        <v>169</v>
      </c>
      <c r="B73" s="1" t="s">
        <v>170</v>
      </c>
      <c r="C73">
        <v>1737857</v>
      </c>
      <c r="D73">
        <v>-5537</v>
      </c>
      <c r="E73">
        <v>11544093</v>
      </c>
      <c r="F73" s="1" t="s">
        <v>78</v>
      </c>
      <c r="G73" s="1" t="s">
        <v>105</v>
      </c>
      <c r="H73">
        <v>78</v>
      </c>
      <c r="I73">
        <v>2586</v>
      </c>
      <c r="J73">
        <v>13281950</v>
      </c>
      <c r="K73" s="1" t="s">
        <v>17</v>
      </c>
      <c r="L73" s="1" t="s">
        <v>30</v>
      </c>
      <c r="M73" s="1" t="s">
        <v>26</v>
      </c>
    </row>
    <row r="74" spans="1:13" x14ac:dyDescent="0.3">
      <c r="A74" s="1" t="s">
        <v>171</v>
      </c>
      <c r="B74" s="1" t="s">
        <v>96</v>
      </c>
      <c r="C74">
        <v>1730195</v>
      </c>
      <c r="D74">
        <v>-201850</v>
      </c>
      <c r="E74">
        <v>13900491</v>
      </c>
      <c r="F74" s="1" t="s">
        <v>23</v>
      </c>
      <c r="G74" s="1" t="s">
        <v>44</v>
      </c>
      <c r="H74">
        <v>79</v>
      </c>
      <c r="I74">
        <v>674</v>
      </c>
      <c r="J74">
        <v>15630686</v>
      </c>
      <c r="K74" s="1" t="s">
        <v>17</v>
      </c>
      <c r="L74" s="1" t="s">
        <v>30</v>
      </c>
      <c r="M74" s="1" t="s">
        <v>26</v>
      </c>
    </row>
    <row r="75" spans="1:13" x14ac:dyDescent="0.3">
      <c r="A75" s="1" t="s">
        <v>172</v>
      </c>
      <c r="B75" s="1" t="s">
        <v>173</v>
      </c>
      <c r="C75">
        <v>1708412</v>
      </c>
      <c r="D75">
        <v>3072</v>
      </c>
      <c r="E75">
        <v>11498926</v>
      </c>
      <c r="F75" s="1" t="s">
        <v>122</v>
      </c>
      <c r="G75" s="1" t="s">
        <v>174</v>
      </c>
      <c r="H75">
        <v>80</v>
      </c>
      <c r="I75">
        <v>988</v>
      </c>
      <c r="J75">
        <v>13207338</v>
      </c>
      <c r="K75" s="1" t="s">
        <v>25</v>
      </c>
      <c r="L75" s="1" t="s">
        <v>30</v>
      </c>
      <c r="M75" s="1" t="s">
        <v>26</v>
      </c>
    </row>
    <row r="76" spans="1:13" x14ac:dyDescent="0.3">
      <c r="A76" s="1" t="s">
        <v>175</v>
      </c>
      <c r="B76" s="1" t="s">
        <v>176</v>
      </c>
      <c r="C76">
        <v>1674168</v>
      </c>
      <c r="D76">
        <v>25719</v>
      </c>
      <c r="E76">
        <v>11406360</v>
      </c>
      <c r="F76" s="1" t="s">
        <v>68</v>
      </c>
      <c r="G76" s="1" t="s">
        <v>47</v>
      </c>
      <c r="H76">
        <v>82</v>
      </c>
      <c r="I76">
        <v>427</v>
      </c>
      <c r="J76">
        <v>13080528</v>
      </c>
      <c r="K76" s="1" t="s">
        <v>25</v>
      </c>
      <c r="L76" s="1" t="s">
        <v>30</v>
      </c>
      <c r="M76" s="1" t="s">
        <v>26</v>
      </c>
    </row>
    <row r="77" spans="1:13" x14ac:dyDescent="0.3">
      <c r="A77" s="1" t="s">
        <v>177</v>
      </c>
      <c r="B77" s="1" t="s">
        <v>178</v>
      </c>
      <c r="C77">
        <v>1669648</v>
      </c>
      <c r="D77">
        <v>-99808</v>
      </c>
      <c r="E77">
        <v>11921501</v>
      </c>
      <c r="F77" s="1" t="s">
        <v>122</v>
      </c>
      <c r="G77" s="1" t="s">
        <v>34</v>
      </c>
      <c r="H77">
        <v>83</v>
      </c>
      <c r="I77">
        <v>443</v>
      </c>
      <c r="J77">
        <v>13591149</v>
      </c>
      <c r="K77" s="1" t="s">
        <v>17</v>
      </c>
      <c r="L77" s="1" t="s">
        <v>30</v>
      </c>
      <c r="M77" s="1" t="s">
        <v>26</v>
      </c>
    </row>
    <row r="78" spans="1:13" x14ac:dyDescent="0.3">
      <c r="A78" s="1" t="s">
        <v>179</v>
      </c>
      <c r="B78" s="1" t="s">
        <v>180</v>
      </c>
      <c r="C78">
        <v>1665602</v>
      </c>
      <c r="D78">
        <v>-10997</v>
      </c>
      <c r="E78">
        <v>11456499</v>
      </c>
      <c r="F78" s="1" t="s">
        <v>130</v>
      </c>
      <c r="G78" s="1" t="s">
        <v>44</v>
      </c>
      <c r="H78">
        <v>84</v>
      </c>
      <c r="I78">
        <v>1016</v>
      </c>
      <c r="J78">
        <v>13122101</v>
      </c>
      <c r="K78" s="1" t="s">
        <v>17</v>
      </c>
      <c r="L78" s="1" t="s">
        <v>30</v>
      </c>
      <c r="M78" s="1" t="s">
        <v>26</v>
      </c>
    </row>
    <row r="79" spans="1:13" x14ac:dyDescent="0.3">
      <c r="A79" s="1" t="s">
        <v>181</v>
      </c>
      <c r="B79" s="1" t="s">
        <v>182</v>
      </c>
      <c r="C79">
        <v>1662229</v>
      </c>
      <c r="D79">
        <v>73090</v>
      </c>
      <c r="E79">
        <v>10586720</v>
      </c>
      <c r="F79" s="1" t="s">
        <v>130</v>
      </c>
      <c r="G79" s="1" t="s">
        <v>44</v>
      </c>
      <c r="H79">
        <v>85</v>
      </c>
      <c r="I79">
        <v>1066</v>
      </c>
      <c r="J79">
        <v>12248949</v>
      </c>
      <c r="K79" s="1" t="s">
        <v>25</v>
      </c>
      <c r="L79" s="1" t="s">
        <v>30</v>
      </c>
      <c r="M79" s="1" t="s">
        <v>26</v>
      </c>
    </row>
    <row r="80" spans="1:13" x14ac:dyDescent="0.3">
      <c r="A80" s="1" t="s">
        <v>183</v>
      </c>
      <c r="B80" s="1" t="s">
        <v>184</v>
      </c>
      <c r="C80">
        <v>1647656</v>
      </c>
      <c r="D80">
        <v>-111701</v>
      </c>
      <c r="E80">
        <v>11401354</v>
      </c>
      <c r="F80" s="1" t="s">
        <v>185</v>
      </c>
      <c r="G80" s="1" t="s">
        <v>44</v>
      </c>
      <c r="H80">
        <v>86</v>
      </c>
      <c r="I80">
        <v>1012</v>
      </c>
      <c r="J80">
        <v>13049010</v>
      </c>
      <c r="K80" s="1" t="s">
        <v>17</v>
      </c>
      <c r="L80" s="1" t="s">
        <v>30</v>
      </c>
      <c r="M80" s="1" t="s">
        <v>26</v>
      </c>
    </row>
    <row r="81" spans="1:13" x14ac:dyDescent="0.3">
      <c r="A81" s="1" t="s">
        <v>186</v>
      </c>
      <c r="B81" s="1" t="s">
        <v>165</v>
      </c>
      <c r="C81">
        <v>1643774</v>
      </c>
      <c r="D81">
        <v>-137154</v>
      </c>
      <c r="E81">
        <v>12741548</v>
      </c>
      <c r="F81" s="1" t="s">
        <v>166</v>
      </c>
      <c r="G81" s="1" t="s">
        <v>131</v>
      </c>
      <c r="H81">
        <v>87</v>
      </c>
      <c r="I81">
        <v>896</v>
      </c>
      <c r="J81">
        <v>14385322</v>
      </c>
      <c r="K81" s="1" t="s">
        <v>17</v>
      </c>
      <c r="L81" s="1" t="s">
        <v>30</v>
      </c>
      <c r="M81" s="1" t="s">
        <v>26</v>
      </c>
    </row>
    <row r="82" spans="1:13" x14ac:dyDescent="0.3">
      <c r="A82" s="1" t="s">
        <v>187</v>
      </c>
      <c r="B82" s="1" t="s">
        <v>188</v>
      </c>
      <c r="C82">
        <v>1643700</v>
      </c>
      <c r="D82">
        <v>-105775</v>
      </c>
      <c r="E82">
        <v>10737763</v>
      </c>
      <c r="F82" s="1" t="s">
        <v>68</v>
      </c>
      <c r="G82" s="1" t="s">
        <v>47</v>
      </c>
      <c r="H82">
        <v>88</v>
      </c>
      <c r="I82">
        <v>802</v>
      </c>
      <c r="J82">
        <v>12381463</v>
      </c>
      <c r="K82" s="1" t="s">
        <v>17</v>
      </c>
      <c r="L82" s="1" t="s">
        <v>30</v>
      </c>
      <c r="M82" s="1" t="s">
        <v>26</v>
      </c>
    </row>
    <row r="83" spans="1:13" x14ac:dyDescent="0.3">
      <c r="A83" s="1" t="s">
        <v>189</v>
      </c>
      <c r="B83" s="1" t="s">
        <v>77</v>
      </c>
      <c r="C83">
        <v>1643576</v>
      </c>
      <c r="D83">
        <v>-159524</v>
      </c>
      <c r="E83">
        <v>13195579</v>
      </c>
      <c r="F83" s="1" t="s">
        <v>43</v>
      </c>
      <c r="G83" s="1" t="s">
        <v>34</v>
      </c>
      <c r="H83">
        <v>89</v>
      </c>
      <c r="I83">
        <v>58</v>
      </c>
      <c r="J83">
        <v>14839155</v>
      </c>
      <c r="K83" s="1" t="s">
        <v>17</v>
      </c>
      <c r="L83" s="1" t="s">
        <v>30</v>
      </c>
      <c r="M83" s="1" t="s">
        <v>35</v>
      </c>
    </row>
    <row r="84" spans="1:13" x14ac:dyDescent="0.3">
      <c r="A84" s="1" t="s">
        <v>190</v>
      </c>
      <c r="B84" s="1" t="s">
        <v>191</v>
      </c>
      <c r="C84">
        <v>1639753</v>
      </c>
      <c r="D84">
        <v>-17075</v>
      </c>
      <c r="E84">
        <v>10668572</v>
      </c>
      <c r="F84" s="1" t="s">
        <v>192</v>
      </c>
      <c r="G84" s="1" t="s">
        <v>193</v>
      </c>
      <c r="H84">
        <v>90</v>
      </c>
      <c r="I84">
        <v>389</v>
      </c>
      <c r="J84">
        <v>12308325</v>
      </c>
      <c r="K84" s="1" t="s">
        <v>17</v>
      </c>
      <c r="L84" s="1" t="s">
        <v>30</v>
      </c>
      <c r="M84" s="1" t="s">
        <v>26</v>
      </c>
    </row>
    <row r="85" spans="1:13" x14ac:dyDescent="0.3">
      <c r="A85" s="1" t="s">
        <v>194</v>
      </c>
      <c r="B85" s="1" t="s">
        <v>195</v>
      </c>
      <c r="C85">
        <v>1634806</v>
      </c>
      <c r="D85">
        <v>64909</v>
      </c>
      <c r="E85">
        <v>10801896</v>
      </c>
      <c r="F85" s="1" t="s">
        <v>78</v>
      </c>
      <c r="G85" s="1" t="s">
        <v>44</v>
      </c>
      <c r="H85">
        <v>91</v>
      </c>
      <c r="I85">
        <v>75</v>
      </c>
      <c r="J85">
        <v>12436702</v>
      </c>
      <c r="K85" s="1" t="s">
        <v>25</v>
      </c>
      <c r="L85" s="1" t="s">
        <v>30</v>
      </c>
      <c r="M85" s="1" t="s">
        <v>35</v>
      </c>
    </row>
    <row r="86" spans="1:13" x14ac:dyDescent="0.3">
      <c r="A86" s="1" t="s">
        <v>196</v>
      </c>
      <c r="B86" s="1" t="s">
        <v>197</v>
      </c>
      <c r="C86">
        <v>1621060</v>
      </c>
      <c r="D86">
        <v>15852</v>
      </c>
      <c r="E86">
        <v>10803226</v>
      </c>
      <c r="F86" s="1" t="s">
        <v>43</v>
      </c>
      <c r="G86" s="1" t="s">
        <v>44</v>
      </c>
      <c r="H86">
        <v>92</v>
      </c>
      <c r="I86">
        <v>710</v>
      </c>
      <c r="J86">
        <v>12424286</v>
      </c>
      <c r="K86" s="1" t="s">
        <v>25</v>
      </c>
      <c r="L86" s="1" t="s">
        <v>30</v>
      </c>
      <c r="M86" s="1" t="s">
        <v>26</v>
      </c>
    </row>
    <row r="87" spans="1:13" x14ac:dyDescent="0.3">
      <c r="A87" s="1" t="s">
        <v>198</v>
      </c>
      <c r="B87" s="1" t="s">
        <v>154</v>
      </c>
      <c r="C87">
        <v>1610233</v>
      </c>
      <c r="D87">
        <v>106290</v>
      </c>
      <c r="E87">
        <v>10117917</v>
      </c>
      <c r="F87" s="1" t="s">
        <v>85</v>
      </c>
      <c r="G87" s="1" t="s">
        <v>74</v>
      </c>
      <c r="H87">
        <v>93</v>
      </c>
      <c r="I87">
        <v>1329</v>
      </c>
      <c r="J87">
        <v>11728150</v>
      </c>
      <c r="K87" s="1" t="s">
        <v>25</v>
      </c>
      <c r="L87" s="1" t="s">
        <v>30</v>
      </c>
      <c r="M87" s="1" t="s">
        <v>26</v>
      </c>
    </row>
    <row r="88" spans="1:13" x14ac:dyDescent="0.3">
      <c r="A88" s="1" t="s">
        <v>199</v>
      </c>
      <c r="B88" s="1" t="s">
        <v>77</v>
      </c>
      <c r="C88">
        <v>1608775</v>
      </c>
      <c r="D88">
        <v>-150504</v>
      </c>
      <c r="E88">
        <v>11660629</v>
      </c>
      <c r="F88" s="1" t="s">
        <v>43</v>
      </c>
      <c r="G88" s="1" t="s">
        <v>34</v>
      </c>
      <c r="H88">
        <v>94</v>
      </c>
      <c r="I88">
        <v>1401</v>
      </c>
      <c r="J88">
        <v>13269404</v>
      </c>
      <c r="K88" s="1" t="s">
        <v>17</v>
      </c>
      <c r="L88" s="1" t="s">
        <v>30</v>
      </c>
      <c r="M88" s="1" t="s">
        <v>26</v>
      </c>
    </row>
    <row r="89" spans="1:13" x14ac:dyDescent="0.3">
      <c r="A89" s="1" t="s">
        <v>200</v>
      </c>
      <c r="B89" s="1" t="s">
        <v>201</v>
      </c>
      <c r="C89">
        <v>1594097</v>
      </c>
      <c r="D89">
        <v>-30037</v>
      </c>
      <c r="E89">
        <v>11149329</v>
      </c>
      <c r="F89" s="1" t="s">
        <v>122</v>
      </c>
      <c r="G89" s="1" t="s">
        <v>105</v>
      </c>
      <c r="H89">
        <v>95</v>
      </c>
      <c r="I89">
        <v>242</v>
      </c>
      <c r="J89">
        <v>12743426</v>
      </c>
      <c r="K89" s="1" t="s">
        <v>17</v>
      </c>
      <c r="L89" s="1" t="s">
        <v>30</v>
      </c>
      <c r="M89" s="1" t="s">
        <v>26</v>
      </c>
    </row>
    <row r="90" spans="1:13" x14ac:dyDescent="0.3">
      <c r="A90" s="1" t="s">
        <v>202</v>
      </c>
      <c r="B90" s="1" t="s">
        <v>103</v>
      </c>
      <c r="C90">
        <v>1593781</v>
      </c>
      <c r="D90">
        <v>-51333</v>
      </c>
      <c r="E90">
        <v>10870662</v>
      </c>
      <c r="F90" s="1" t="s">
        <v>104</v>
      </c>
      <c r="G90" s="1" t="s">
        <v>105</v>
      </c>
      <c r="H90">
        <v>96</v>
      </c>
      <c r="I90">
        <v>510</v>
      </c>
      <c r="J90">
        <v>12464443</v>
      </c>
      <c r="K90" s="1" t="s">
        <v>17</v>
      </c>
      <c r="L90" s="1" t="s">
        <v>30</v>
      </c>
      <c r="M90" s="1" t="s">
        <v>26</v>
      </c>
    </row>
    <row r="91" spans="1:13" x14ac:dyDescent="0.3">
      <c r="A91" s="1" t="s">
        <v>203</v>
      </c>
      <c r="B91" s="1" t="s">
        <v>157</v>
      </c>
      <c r="C91">
        <v>1587695</v>
      </c>
      <c r="D91">
        <v>-113645</v>
      </c>
      <c r="E91">
        <v>11653237</v>
      </c>
      <c r="F91" s="1" t="s">
        <v>158</v>
      </c>
      <c r="G91" s="1" t="s">
        <v>74</v>
      </c>
      <c r="H91">
        <v>97</v>
      </c>
      <c r="I91">
        <v>1537</v>
      </c>
      <c r="J91">
        <v>13240932</v>
      </c>
      <c r="K91" s="1" t="s">
        <v>17</v>
      </c>
      <c r="L91" s="1" t="s">
        <v>30</v>
      </c>
      <c r="M91" s="1" t="s">
        <v>26</v>
      </c>
    </row>
    <row r="92" spans="1:13" x14ac:dyDescent="0.3">
      <c r="A92" s="1" t="s">
        <v>204</v>
      </c>
      <c r="B92" s="1" t="s">
        <v>205</v>
      </c>
      <c r="C92">
        <v>1580746</v>
      </c>
      <c r="D92">
        <v>-80854</v>
      </c>
      <c r="E92">
        <v>11202875</v>
      </c>
      <c r="F92" s="1" t="s">
        <v>43</v>
      </c>
      <c r="G92" s="1" t="s">
        <v>16</v>
      </c>
      <c r="H92">
        <v>98</v>
      </c>
      <c r="I92">
        <v>981</v>
      </c>
      <c r="J92">
        <v>12783621</v>
      </c>
      <c r="K92" s="1" t="s">
        <v>17</v>
      </c>
      <c r="L92" s="1" t="s">
        <v>30</v>
      </c>
      <c r="M92" s="1" t="s">
        <v>26</v>
      </c>
    </row>
    <row r="93" spans="1:13" x14ac:dyDescent="0.3">
      <c r="A93" s="1" t="s">
        <v>206</v>
      </c>
      <c r="B93" s="1" t="s">
        <v>207</v>
      </c>
      <c r="C93">
        <v>1564019</v>
      </c>
      <c r="D93">
        <v>112870</v>
      </c>
      <c r="E93">
        <v>10014833</v>
      </c>
      <c r="F93" s="1" t="s">
        <v>81</v>
      </c>
      <c r="G93" s="1" t="s">
        <v>142</v>
      </c>
      <c r="H93">
        <v>99</v>
      </c>
      <c r="I93">
        <v>317</v>
      </c>
      <c r="J93">
        <v>11578852</v>
      </c>
      <c r="K93" s="1" t="s">
        <v>25</v>
      </c>
      <c r="L93" s="1" t="s">
        <v>30</v>
      </c>
      <c r="M93" s="1" t="s">
        <v>26</v>
      </c>
    </row>
    <row r="94" spans="1:13" x14ac:dyDescent="0.3">
      <c r="A94" s="1" t="s">
        <v>208</v>
      </c>
      <c r="B94" s="1" t="s">
        <v>209</v>
      </c>
      <c r="C94">
        <v>1563733</v>
      </c>
      <c r="D94">
        <v>90601</v>
      </c>
      <c r="E94">
        <v>10043908</v>
      </c>
      <c r="F94" s="1" t="s">
        <v>141</v>
      </c>
      <c r="G94" s="1" t="s">
        <v>142</v>
      </c>
      <c r="H94">
        <v>100</v>
      </c>
      <c r="I94">
        <v>58</v>
      </c>
      <c r="J94">
        <v>11607641</v>
      </c>
      <c r="K94" s="1" t="s">
        <v>25</v>
      </c>
      <c r="L94" s="1" t="s">
        <v>30</v>
      </c>
      <c r="M94" s="1" t="s">
        <v>35</v>
      </c>
    </row>
    <row r="95" spans="1:13" x14ac:dyDescent="0.3">
      <c r="A95" s="1" t="s">
        <v>210</v>
      </c>
      <c r="B95" s="1" t="s">
        <v>98</v>
      </c>
      <c r="C95">
        <v>1558344</v>
      </c>
      <c r="D95">
        <v>-296012</v>
      </c>
      <c r="E95">
        <v>12044907</v>
      </c>
      <c r="F95" s="1" t="s">
        <v>211</v>
      </c>
      <c r="G95" s="1" t="s">
        <v>74</v>
      </c>
      <c r="H95">
        <v>101</v>
      </c>
      <c r="I95">
        <v>9</v>
      </c>
      <c r="J95">
        <v>13603251</v>
      </c>
      <c r="K95" s="1" t="s">
        <v>17</v>
      </c>
      <c r="L95" s="1" t="s">
        <v>30</v>
      </c>
      <c r="M95" s="1" t="s">
        <v>19</v>
      </c>
    </row>
    <row r="96" spans="1:13" x14ac:dyDescent="0.3">
      <c r="A96" s="1" t="s">
        <v>212</v>
      </c>
      <c r="B96" s="1" t="s">
        <v>213</v>
      </c>
      <c r="C96">
        <v>1551069</v>
      </c>
      <c r="D96">
        <v>20972</v>
      </c>
      <c r="E96">
        <v>9991848</v>
      </c>
      <c r="F96" s="1" t="s">
        <v>43</v>
      </c>
      <c r="G96" s="1" t="s">
        <v>44</v>
      </c>
      <c r="H96">
        <v>102</v>
      </c>
      <c r="I96">
        <v>363</v>
      </c>
      <c r="J96">
        <v>11542917</v>
      </c>
      <c r="K96" s="1" t="s">
        <v>25</v>
      </c>
      <c r="L96" s="1" t="s">
        <v>30</v>
      </c>
      <c r="M96" s="1" t="s">
        <v>26</v>
      </c>
    </row>
    <row r="97" spans="1:13" x14ac:dyDescent="0.3">
      <c r="A97" s="1" t="s">
        <v>214</v>
      </c>
      <c r="B97" s="1" t="s">
        <v>215</v>
      </c>
      <c r="C97">
        <v>1540953</v>
      </c>
      <c r="D97">
        <v>46742</v>
      </c>
      <c r="E97">
        <v>9623813</v>
      </c>
      <c r="F97" s="1" t="s">
        <v>68</v>
      </c>
      <c r="G97" s="1" t="s">
        <v>174</v>
      </c>
      <c r="H97">
        <v>103</v>
      </c>
      <c r="I97">
        <v>583</v>
      </c>
      <c r="J97">
        <v>11164766</v>
      </c>
      <c r="K97" s="1" t="s">
        <v>25</v>
      </c>
      <c r="L97" s="1" t="s">
        <v>30</v>
      </c>
      <c r="M97" s="1" t="s">
        <v>26</v>
      </c>
    </row>
    <row r="98" spans="1:13" x14ac:dyDescent="0.3">
      <c r="A98" s="1" t="s">
        <v>216</v>
      </c>
      <c r="B98" s="1" t="s">
        <v>217</v>
      </c>
      <c r="C98">
        <v>1537690</v>
      </c>
      <c r="D98">
        <v>56324</v>
      </c>
      <c r="E98">
        <v>10293259</v>
      </c>
      <c r="F98" s="1" t="s">
        <v>141</v>
      </c>
      <c r="G98" s="1" t="s">
        <v>218</v>
      </c>
      <c r="H98">
        <v>104</v>
      </c>
      <c r="I98">
        <v>127</v>
      </c>
      <c r="J98">
        <v>11830949</v>
      </c>
      <c r="K98" s="1" t="s">
        <v>25</v>
      </c>
      <c r="L98" s="1" t="s">
        <v>30</v>
      </c>
      <c r="M98" s="1" t="s">
        <v>26</v>
      </c>
    </row>
    <row r="99" spans="1:13" x14ac:dyDescent="0.3">
      <c r="A99" s="1" t="s">
        <v>219</v>
      </c>
      <c r="B99" s="1" t="s">
        <v>220</v>
      </c>
      <c r="C99">
        <v>1536251</v>
      </c>
      <c r="D99">
        <v>49704</v>
      </c>
      <c r="E99">
        <v>9999127</v>
      </c>
      <c r="F99" s="1" t="s">
        <v>141</v>
      </c>
      <c r="G99" s="1" t="s">
        <v>221</v>
      </c>
      <c r="H99">
        <v>105</v>
      </c>
      <c r="I99">
        <v>122</v>
      </c>
      <c r="J99">
        <v>11535378</v>
      </c>
      <c r="K99" s="1" t="s">
        <v>25</v>
      </c>
      <c r="L99" s="1" t="s">
        <v>30</v>
      </c>
      <c r="M99" s="1" t="s">
        <v>26</v>
      </c>
    </row>
    <row r="100" spans="1:13" x14ac:dyDescent="0.3">
      <c r="A100" s="1" t="s">
        <v>222</v>
      </c>
      <c r="B100" s="1" t="s">
        <v>65</v>
      </c>
      <c r="C100">
        <v>1535615</v>
      </c>
      <c r="D100">
        <v>-88400</v>
      </c>
      <c r="E100">
        <v>10972970</v>
      </c>
      <c r="F100" s="1" t="s">
        <v>66</v>
      </c>
      <c r="G100" s="1" t="s">
        <v>44</v>
      </c>
      <c r="H100">
        <v>106</v>
      </c>
      <c r="I100">
        <v>358</v>
      </c>
      <c r="J100">
        <v>12508585</v>
      </c>
      <c r="K100" s="1" t="s">
        <v>17</v>
      </c>
      <c r="L100" s="1" t="s">
        <v>30</v>
      </c>
      <c r="M100" s="1" t="s">
        <v>26</v>
      </c>
    </row>
    <row r="101" spans="1:13" x14ac:dyDescent="0.3">
      <c r="A101" s="1" t="s">
        <v>223</v>
      </c>
      <c r="B101" s="1" t="s">
        <v>224</v>
      </c>
      <c r="C101">
        <v>1532739</v>
      </c>
      <c r="D101">
        <v>-41473</v>
      </c>
      <c r="E101">
        <v>10263688</v>
      </c>
      <c r="F101" s="1" t="s">
        <v>43</v>
      </c>
      <c r="G101" s="1" t="s">
        <v>74</v>
      </c>
      <c r="H101">
        <v>107</v>
      </c>
      <c r="I101">
        <v>2815</v>
      </c>
      <c r="J101">
        <v>11796427</v>
      </c>
      <c r="K101" s="1" t="s">
        <v>17</v>
      </c>
      <c r="L101" s="1" t="s">
        <v>30</v>
      </c>
      <c r="M101" s="1" t="s">
        <v>26</v>
      </c>
    </row>
    <row r="102" spans="1:13" x14ac:dyDescent="0.3">
      <c r="A102" s="1" t="s">
        <v>225</v>
      </c>
      <c r="B102" s="1" t="s">
        <v>226</v>
      </c>
      <c r="C102">
        <v>1526228</v>
      </c>
      <c r="D102">
        <v>-51917</v>
      </c>
      <c r="E102">
        <v>10719195</v>
      </c>
      <c r="F102" s="1" t="s">
        <v>227</v>
      </c>
      <c r="G102" s="1" t="s">
        <v>44</v>
      </c>
      <c r="H102">
        <v>108</v>
      </c>
      <c r="I102">
        <v>519</v>
      </c>
      <c r="J102">
        <v>12245423</v>
      </c>
      <c r="K102" s="1" t="s">
        <v>17</v>
      </c>
      <c r="L102" s="1" t="s">
        <v>30</v>
      </c>
      <c r="M102" s="1" t="s">
        <v>26</v>
      </c>
    </row>
    <row r="103" spans="1:13" x14ac:dyDescent="0.3">
      <c r="A103" s="1" t="s">
        <v>228</v>
      </c>
      <c r="B103" s="1" t="s">
        <v>70</v>
      </c>
      <c r="C103">
        <v>1512185</v>
      </c>
      <c r="D103">
        <v>-10911</v>
      </c>
      <c r="E103">
        <v>10133254</v>
      </c>
      <c r="F103" s="1" t="s">
        <v>147</v>
      </c>
      <c r="G103" s="1" t="s">
        <v>71</v>
      </c>
      <c r="H103">
        <v>109</v>
      </c>
      <c r="I103">
        <v>63</v>
      </c>
      <c r="J103">
        <v>11645439</v>
      </c>
      <c r="K103" s="1" t="s">
        <v>17</v>
      </c>
      <c r="L103" s="1" t="s">
        <v>30</v>
      </c>
      <c r="M103" s="1" t="s">
        <v>35</v>
      </c>
    </row>
    <row r="104" spans="1:13" x14ac:dyDescent="0.3">
      <c r="A104" s="1" t="s">
        <v>229</v>
      </c>
      <c r="B104" s="1" t="s">
        <v>52</v>
      </c>
      <c r="C104">
        <v>1508958</v>
      </c>
      <c r="D104">
        <v>144568</v>
      </c>
      <c r="E104">
        <v>10366342</v>
      </c>
      <c r="F104" s="1" t="s">
        <v>43</v>
      </c>
      <c r="G104" s="1" t="s">
        <v>44</v>
      </c>
      <c r="H104">
        <v>110</v>
      </c>
      <c r="I104">
        <v>1476</v>
      </c>
      <c r="J104">
        <v>11875300</v>
      </c>
      <c r="K104" s="1" t="s">
        <v>25</v>
      </c>
      <c r="L104" s="1" t="s">
        <v>30</v>
      </c>
      <c r="M104" s="1" t="s">
        <v>26</v>
      </c>
    </row>
    <row r="105" spans="1:13" x14ac:dyDescent="0.3">
      <c r="A105" s="1" t="s">
        <v>230</v>
      </c>
      <c r="B105" s="1" t="s">
        <v>231</v>
      </c>
      <c r="C105">
        <v>1507387</v>
      </c>
      <c r="D105">
        <v>52997</v>
      </c>
      <c r="E105">
        <v>9344647</v>
      </c>
      <c r="F105" s="1" t="s">
        <v>232</v>
      </c>
      <c r="G105" s="1" t="s">
        <v>44</v>
      </c>
      <c r="H105">
        <v>111</v>
      </c>
      <c r="I105">
        <v>484</v>
      </c>
      <c r="J105">
        <v>10852034</v>
      </c>
      <c r="K105" s="1" t="s">
        <v>25</v>
      </c>
      <c r="L105" s="1" t="s">
        <v>30</v>
      </c>
      <c r="M105" s="1" t="s">
        <v>26</v>
      </c>
    </row>
    <row r="106" spans="1:13" x14ac:dyDescent="0.3">
      <c r="A106" s="1" t="s">
        <v>233</v>
      </c>
      <c r="B106" s="1" t="s">
        <v>154</v>
      </c>
      <c r="C106">
        <v>1504857</v>
      </c>
      <c r="D106">
        <v>-3015</v>
      </c>
      <c r="E106">
        <v>10932582</v>
      </c>
      <c r="F106" s="1" t="s">
        <v>85</v>
      </c>
      <c r="G106" s="1" t="s">
        <v>74</v>
      </c>
      <c r="H106">
        <v>112</v>
      </c>
      <c r="I106">
        <v>562</v>
      </c>
      <c r="J106">
        <v>12437439</v>
      </c>
      <c r="K106" s="1" t="s">
        <v>17</v>
      </c>
      <c r="L106" s="1" t="s">
        <v>30</v>
      </c>
      <c r="M106" s="1" t="s">
        <v>26</v>
      </c>
    </row>
    <row r="107" spans="1:13" x14ac:dyDescent="0.3">
      <c r="A107" s="1" t="s">
        <v>234</v>
      </c>
      <c r="B107" s="1" t="s">
        <v>207</v>
      </c>
      <c r="C107">
        <v>1503126</v>
      </c>
      <c r="D107">
        <v>62199</v>
      </c>
      <c r="E107">
        <v>9876432</v>
      </c>
      <c r="F107" s="1" t="s">
        <v>141</v>
      </c>
      <c r="G107" s="1" t="s">
        <v>142</v>
      </c>
      <c r="H107">
        <v>113</v>
      </c>
      <c r="I107">
        <v>309</v>
      </c>
      <c r="J107">
        <v>11379558</v>
      </c>
      <c r="K107" s="1" t="s">
        <v>25</v>
      </c>
      <c r="L107" s="1" t="s">
        <v>30</v>
      </c>
      <c r="M107" s="1" t="s">
        <v>26</v>
      </c>
    </row>
    <row r="108" spans="1:13" x14ac:dyDescent="0.3">
      <c r="A108" s="1" t="s">
        <v>235</v>
      </c>
      <c r="B108" s="1" t="s">
        <v>236</v>
      </c>
      <c r="C108">
        <v>1496326</v>
      </c>
      <c r="D108">
        <v>10006</v>
      </c>
      <c r="E108">
        <v>10165562</v>
      </c>
      <c r="F108" s="1" t="s">
        <v>85</v>
      </c>
      <c r="G108" s="1" t="s">
        <v>74</v>
      </c>
      <c r="H108">
        <v>114</v>
      </c>
      <c r="I108">
        <v>1193</v>
      </c>
      <c r="J108">
        <v>11661888</v>
      </c>
      <c r="K108" s="1" t="s">
        <v>25</v>
      </c>
      <c r="L108" s="1" t="s">
        <v>30</v>
      </c>
      <c r="M108" s="1" t="s">
        <v>26</v>
      </c>
    </row>
    <row r="109" spans="1:13" x14ac:dyDescent="0.3">
      <c r="A109" s="1" t="s">
        <v>237</v>
      </c>
      <c r="B109" s="1" t="s">
        <v>77</v>
      </c>
      <c r="C109">
        <v>1480809</v>
      </c>
      <c r="D109">
        <v>-206276</v>
      </c>
      <c r="E109">
        <v>12746602</v>
      </c>
      <c r="F109" s="1" t="s">
        <v>78</v>
      </c>
      <c r="G109" s="1" t="s">
        <v>34</v>
      </c>
      <c r="H109">
        <v>115</v>
      </c>
      <c r="I109">
        <v>16</v>
      </c>
      <c r="J109">
        <v>14227411</v>
      </c>
      <c r="K109" s="1" t="s">
        <v>17</v>
      </c>
      <c r="L109" s="1" t="s">
        <v>30</v>
      </c>
      <c r="M109" s="1" t="s">
        <v>19</v>
      </c>
    </row>
    <row r="110" spans="1:13" x14ac:dyDescent="0.3">
      <c r="A110" s="1" t="s">
        <v>238</v>
      </c>
      <c r="B110" s="1" t="s">
        <v>239</v>
      </c>
      <c r="C110">
        <v>1466813</v>
      </c>
      <c r="D110">
        <v>189999</v>
      </c>
      <c r="E110">
        <v>4001191</v>
      </c>
      <c r="F110" s="1" t="s">
        <v>240</v>
      </c>
      <c r="G110" s="1" t="s">
        <v>44</v>
      </c>
      <c r="H110">
        <v>116</v>
      </c>
      <c r="I110">
        <v>58</v>
      </c>
      <c r="J110">
        <v>5468004</v>
      </c>
      <c r="K110" s="1" t="s">
        <v>25</v>
      </c>
      <c r="L110" s="1" t="s">
        <v>30</v>
      </c>
      <c r="M110" s="1" t="s">
        <v>35</v>
      </c>
    </row>
    <row r="111" spans="1:13" x14ac:dyDescent="0.3">
      <c r="A111" s="1" t="s">
        <v>241</v>
      </c>
      <c r="B111" s="1" t="s">
        <v>242</v>
      </c>
      <c r="C111">
        <v>1453513</v>
      </c>
      <c r="D111">
        <v>-125183</v>
      </c>
      <c r="E111">
        <v>10271555</v>
      </c>
      <c r="F111" s="1" t="s">
        <v>243</v>
      </c>
      <c r="G111" s="1" t="s">
        <v>44</v>
      </c>
      <c r="H111">
        <v>117</v>
      </c>
      <c r="I111">
        <v>727</v>
      </c>
      <c r="J111">
        <v>11725068</v>
      </c>
      <c r="K111" s="1" t="s">
        <v>17</v>
      </c>
      <c r="L111" s="1" t="s">
        <v>30</v>
      </c>
      <c r="M111" s="1" t="s">
        <v>26</v>
      </c>
    </row>
    <row r="112" spans="1:13" x14ac:dyDescent="0.3">
      <c r="A112" s="1" t="s">
        <v>244</v>
      </c>
      <c r="B112" s="1" t="s">
        <v>165</v>
      </c>
      <c r="C112">
        <v>1448450</v>
      </c>
      <c r="D112">
        <v>11224</v>
      </c>
      <c r="E112">
        <v>9729402</v>
      </c>
      <c r="F112" s="1" t="s">
        <v>166</v>
      </c>
      <c r="G112" s="1" t="s">
        <v>131</v>
      </c>
      <c r="H112">
        <v>118</v>
      </c>
      <c r="I112">
        <v>2301</v>
      </c>
      <c r="J112">
        <v>11177852</v>
      </c>
      <c r="K112" s="1" t="s">
        <v>25</v>
      </c>
      <c r="L112" s="1" t="s">
        <v>30</v>
      </c>
      <c r="M112" s="1" t="s">
        <v>26</v>
      </c>
    </row>
    <row r="113" spans="1:13" x14ac:dyDescent="0.3">
      <c r="A113" s="1" t="s">
        <v>245</v>
      </c>
      <c r="B113" s="1" t="s">
        <v>140</v>
      </c>
      <c r="C113">
        <v>1440677</v>
      </c>
      <c r="D113">
        <v>5573</v>
      </c>
      <c r="E113">
        <v>9736835</v>
      </c>
      <c r="F113" s="1" t="s">
        <v>141</v>
      </c>
      <c r="G113" s="1" t="s">
        <v>142</v>
      </c>
      <c r="H113">
        <v>119</v>
      </c>
      <c r="I113">
        <v>86</v>
      </c>
      <c r="J113">
        <v>11177512</v>
      </c>
      <c r="K113" s="1" t="s">
        <v>25</v>
      </c>
      <c r="L113" s="1" t="s">
        <v>30</v>
      </c>
      <c r="M113" s="1" t="s">
        <v>35</v>
      </c>
    </row>
    <row r="114" spans="1:13" x14ac:dyDescent="0.3">
      <c r="A114" s="1" t="s">
        <v>246</v>
      </c>
      <c r="B114" s="1" t="s">
        <v>247</v>
      </c>
      <c r="C114">
        <v>1430611</v>
      </c>
      <c r="D114">
        <v>-374516</v>
      </c>
      <c r="E114">
        <v>12359863</v>
      </c>
      <c r="F114" s="1" t="s">
        <v>227</v>
      </c>
      <c r="G114" s="1" t="s">
        <v>44</v>
      </c>
      <c r="H114">
        <v>120</v>
      </c>
      <c r="I114">
        <v>9</v>
      </c>
      <c r="J114">
        <v>13790474</v>
      </c>
      <c r="K114" s="1" t="s">
        <v>17</v>
      </c>
      <c r="L114" s="1" t="s">
        <v>30</v>
      </c>
      <c r="M114" s="1" t="s">
        <v>19</v>
      </c>
    </row>
    <row r="115" spans="1:13" x14ac:dyDescent="0.3">
      <c r="A115" s="1" t="s">
        <v>248</v>
      </c>
      <c r="B115" s="1" t="s">
        <v>52</v>
      </c>
      <c r="C115">
        <v>1423798</v>
      </c>
      <c r="D115">
        <v>-102703</v>
      </c>
      <c r="E115">
        <v>10482326</v>
      </c>
      <c r="F115" s="1" t="s">
        <v>43</v>
      </c>
      <c r="G115" s="1" t="s">
        <v>44</v>
      </c>
      <c r="H115">
        <v>121</v>
      </c>
      <c r="I115">
        <v>1197</v>
      </c>
      <c r="J115">
        <v>11906124</v>
      </c>
      <c r="K115" s="1" t="s">
        <v>17</v>
      </c>
      <c r="L115" s="1" t="s">
        <v>30</v>
      </c>
      <c r="M115" s="1" t="s">
        <v>26</v>
      </c>
    </row>
    <row r="116" spans="1:13" x14ac:dyDescent="0.3">
      <c r="A116" s="1" t="s">
        <v>249</v>
      </c>
      <c r="B116" s="1" t="s">
        <v>77</v>
      </c>
      <c r="C116">
        <v>1418986</v>
      </c>
      <c r="D116">
        <v>-230104</v>
      </c>
      <c r="E116">
        <v>12650537</v>
      </c>
      <c r="F116" s="1" t="s">
        <v>43</v>
      </c>
      <c r="G116" s="1" t="s">
        <v>34</v>
      </c>
      <c r="H116">
        <v>122</v>
      </c>
      <c r="I116">
        <v>16</v>
      </c>
      <c r="J116">
        <v>14069523</v>
      </c>
      <c r="K116" s="1" t="s">
        <v>17</v>
      </c>
      <c r="L116" s="1" t="s">
        <v>30</v>
      </c>
      <c r="M116" s="1" t="s">
        <v>19</v>
      </c>
    </row>
    <row r="117" spans="1:13" x14ac:dyDescent="0.3">
      <c r="A117" s="1" t="s">
        <v>250</v>
      </c>
      <c r="B117" s="1" t="s">
        <v>42</v>
      </c>
      <c r="C117">
        <v>1416007</v>
      </c>
      <c r="D117">
        <v>-50721</v>
      </c>
      <c r="E117">
        <v>9872551</v>
      </c>
      <c r="F117" s="1" t="s">
        <v>43</v>
      </c>
      <c r="G117" s="1" t="s">
        <v>44</v>
      </c>
      <c r="H117">
        <v>123</v>
      </c>
      <c r="I117">
        <v>212</v>
      </c>
      <c r="J117">
        <v>11288558</v>
      </c>
      <c r="K117" s="1" t="s">
        <v>17</v>
      </c>
      <c r="L117" s="1" t="s">
        <v>30</v>
      </c>
      <c r="M117" s="1" t="s">
        <v>26</v>
      </c>
    </row>
    <row r="118" spans="1:13" x14ac:dyDescent="0.3">
      <c r="A118" s="1" t="s">
        <v>251</v>
      </c>
      <c r="B118" s="1" t="s">
        <v>252</v>
      </c>
      <c r="C118">
        <v>1414383</v>
      </c>
      <c r="D118">
        <v>-31879</v>
      </c>
      <c r="E118">
        <v>9525522</v>
      </c>
      <c r="F118" s="1" t="s">
        <v>43</v>
      </c>
      <c r="G118" s="1" t="s">
        <v>44</v>
      </c>
      <c r="H118">
        <v>124</v>
      </c>
      <c r="I118">
        <v>2495</v>
      </c>
      <c r="J118">
        <v>10939905</v>
      </c>
      <c r="K118" s="1" t="s">
        <v>17</v>
      </c>
      <c r="L118" s="1" t="s">
        <v>30</v>
      </c>
      <c r="M118" s="1" t="s">
        <v>26</v>
      </c>
    </row>
    <row r="119" spans="1:13" x14ac:dyDescent="0.3">
      <c r="A119" s="1" t="s">
        <v>253</v>
      </c>
      <c r="B119" s="1" t="s">
        <v>254</v>
      </c>
      <c r="C119">
        <v>1404894</v>
      </c>
      <c r="D119">
        <v>-2613</v>
      </c>
      <c r="E119">
        <v>10047427</v>
      </c>
      <c r="F119" s="1" t="s">
        <v>43</v>
      </c>
      <c r="G119" s="1" t="s">
        <v>44</v>
      </c>
      <c r="H119">
        <v>125</v>
      </c>
      <c r="I119">
        <v>120</v>
      </c>
      <c r="J119">
        <v>11452321</v>
      </c>
      <c r="K119" s="1" t="s">
        <v>17</v>
      </c>
      <c r="L119" s="1" t="s">
        <v>30</v>
      </c>
      <c r="M119" s="1" t="s">
        <v>26</v>
      </c>
    </row>
    <row r="120" spans="1:13" x14ac:dyDescent="0.3">
      <c r="A120" s="1" t="s">
        <v>255</v>
      </c>
      <c r="B120" s="1" t="s">
        <v>256</v>
      </c>
      <c r="C120">
        <v>1398296</v>
      </c>
      <c r="D120">
        <v>-52230</v>
      </c>
      <c r="E120">
        <v>9276305</v>
      </c>
      <c r="F120" s="1" t="s">
        <v>43</v>
      </c>
      <c r="G120" s="1" t="s">
        <v>44</v>
      </c>
      <c r="H120">
        <v>126</v>
      </c>
      <c r="I120">
        <v>131</v>
      </c>
      <c r="J120">
        <v>10674601</v>
      </c>
      <c r="K120" s="1" t="s">
        <v>17</v>
      </c>
      <c r="L120" s="1" t="s">
        <v>30</v>
      </c>
      <c r="M120" s="1" t="s">
        <v>26</v>
      </c>
    </row>
    <row r="121" spans="1:13" x14ac:dyDescent="0.3">
      <c r="A121" s="1" t="s">
        <v>257</v>
      </c>
      <c r="B121" s="1" t="s">
        <v>258</v>
      </c>
      <c r="C121">
        <v>1396427</v>
      </c>
      <c r="D121">
        <v>-131213</v>
      </c>
      <c r="E121">
        <v>10205781</v>
      </c>
      <c r="F121" s="1" t="s">
        <v>78</v>
      </c>
      <c r="G121" s="1" t="s">
        <v>44</v>
      </c>
      <c r="H121">
        <v>127</v>
      </c>
      <c r="I121">
        <v>341</v>
      </c>
      <c r="J121">
        <v>11602208</v>
      </c>
      <c r="K121" s="1" t="s">
        <v>17</v>
      </c>
      <c r="L121" s="1" t="s">
        <v>30</v>
      </c>
      <c r="M121" s="1" t="s">
        <v>26</v>
      </c>
    </row>
    <row r="122" spans="1:13" x14ac:dyDescent="0.3">
      <c r="A122" s="1" t="s">
        <v>259</v>
      </c>
      <c r="B122" s="1" t="s">
        <v>256</v>
      </c>
      <c r="C122">
        <v>1395227</v>
      </c>
      <c r="D122">
        <v>-40325</v>
      </c>
      <c r="E122">
        <v>9282714</v>
      </c>
      <c r="F122" s="1" t="s">
        <v>43</v>
      </c>
      <c r="G122" s="1" t="s">
        <v>44</v>
      </c>
      <c r="H122">
        <v>128</v>
      </c>
      <c r="I122">
        <v>117</v>
      </c>
      <c r="J122">
        <v>10677941</v>
      </c>
      <c r="K122" s="1" t="s">
        <v>17</v>
      </c>
      <c r="L122" s="1" t="s">
        <v>30</v>
      </c>
      <c r="M122" s="1" t="s">
        <v>26</v>
      </c>
    </row>
    <row r="123" spans="1:13" x14ac:dyDescent="0.3">
      <c r="A123" s="1" t="s">
        <v>260</v>
      </c>
      <c r="B123" s="1" t="s">
        <v>165</v>
      </c>
      <c r="C123">
        <v>1392146</v>
      </c>
      <c r="D123">
        <v>-94943</v>
      </c>
      <c r="E123">
        <v>10349253</v>
      </c>
      <c r="F123" s="1" t="s">
        <v>166</v>
      </c>
      <c r="G123" s="1" t="s">
        <v>131</v>
      </c>
      <c r="H123">
        <v>129</v>
      </c>
      <c r="I123">
        <v>541</v>
      </c>
      <c r="J123">
        <v>11741399</v>
      </c>
      <c r="K123" s="1" t="s">
        <v>17</v>
      </c>
      <c r="L123" s="1" t="s">
        <v>30</v>
      </c>
      <c r="M123" s="1" t="s">
        <v>26</v>
      </c>
    </row>
    <row r="124" spans="1:13" x14ac:dyDescent="0.3">
      <c r="A124" s="1" t="s">
        <v>261</v>
      </c>
      <c r="B124" s="1" t="s">
        <v>262</v>
      </c>
      <c r="C124">
        <v>1390532</v>
      </c>
      <c r="D124">
        <v>-5054</v>
      </c>
      <c r="E124">
        <v>8860680</v>
      </c>
      <c r="F124" s="1" t="s">
        <v>43</v>
      </c>
      <c r="G124" s="1" t="s">
        <v>131</v>
      </c>
      <c r="H124">
        <v>130</v>
      </c>
      <c r="I124">
        <v>171</v>
      </c>
      <c r="J124">
        <v>10251212</v>
      </c>
      <c r="K124" s="1" t="s">
        <v>17</v>
      </c>
      <c r="L124" s="1" t="s">
        <v>30</v>
      </c>
      <c r="M124" s="1" t="s">
        <v>26</v>
      </c>
    </row>
    <row r="125" spans="1:13" x14ac:dyDescent="0.3">
      <c r="A125" s="1" t="s">
        <v>263</v>
      </c>
      <c r="B125" s="1" t="s">
        <v>264</v>
      </c>
      <c r="C125">
        <v>1389531</v>
      </c>
      <c r="D125">
        <v>-110927</v>
      </c>
      <c r="E125">
        <v>9497950</v>
      </c>
      <c r="F125" s="1" t="s">
        <v>147</v>
      </c>
      <c r="G125" s="1" t="s">
        <v>44</v>
      </c>
      <c r="H125">
        <v>131</v>
      </c>
      <c r="I125">
        <v>511</v>
      </c>
      <c r="J125">
        <v>10887481</v>
      </c>
      <c r="K125" s="1" t="s">
        <v>17</v>
      </c>
      <c r="L125" s="1" t="s">
        <v>30</v>
      </c>
      <c r="M125" s="1" t="s">
        <v>26</v>
      </c>
    </row>
    <row r="126" spans="1:13" x14ac:dyDescent="0.3">
      <c r="A126" s="1" t="s">
        <v>265</v>
      </c>
      <c r="B126" s="1" t="s">
        <v>140</v>
      </c>
      <c r="C126">
        <v>1389411</v>
      </c>
      <c r="D126">
        <v>-12742</v>
      </c>
      <c r="E126">
        <v>9202643</v>
      </c>
      <c r="F126" s="1" t="s">
        <v>141</v>
      </c>
      <c r="G126" s="1" t="s">
        <v>142</v>
      </c>
      <c r="H126">
        <v>132</v>
      </c>
      <c r="I126">
        <v>21</v>
      </c>
      <c r="J126">
        <v>10592054</v>
      </c>
      <c r="K126" s="1" t="s">
        <v>17</v>
      </c>
      <c r="L126" s="1" t="s">
        <v>30</v>
      </c>
      <c r="M126" s="1" t="s">
        <v>19</v>
      </c>
    </row>
    <row r="127" spans="1:13" x14ac:dyDescent="0.3">
      <c r="A127" s="1" t="s">
        <v>266</v>
      </c>
      <c r="B127" s="1" t="s">
        <v>267</v>
      </c>
      <c r="C127">
        <v>1380148</v>
      </c>
      <c r="D127">
        <v>-55381</v>
      </c>
      <c r="E127">
        <v>9480736</v>
      </c>
      <c r="F127" s="1" t="s">
        <v>268</v>
      </c>
      <c r="G127" s="1" t="s">
        <v>174</v>
      </c>
      <c r="H127">
        <v>133</v>
      </c>
      <c r="I127">
        <v>287</v>
      </c>
      <c r="J127">
        <v>10860884</v>
      </c>
      <c r="K127" s="1" t="s">
        <v>17</v>
      </c>
      <c r="L127" s="1" t="s">
        <v>30</v>
      </c>
      <c r="M127" s="1" t="s">
        <v>26</v>
      </c>
    </row>
    <row r="128" spans="1:13" x14ac:dyDescent="0.3">
      <c r="A128" s="1" t="s">
        <v>269</v>
      </c>
      <c r="B128" s="1" t="s">
        <v>256</v>
      </c>
      <c r="C128">
        <v>1379747</v>
      </c>
      <c r="D128">
        <v>-223043</v>
      </c>
      <c r="E128">
        <v>10359276</v>
      </c>
      <c r="F128" s="1" t="s">
        <v>43</v>
      </c>
      <c r="G128" s="1" t="s">
        <v>44</v>
      </c>
      <c r="H128">
        <v>134</v>
      </c>
      <c r="I128">
        <v>142</v>
      </c>
      <c r="J128">
        <v>11739023</v>
      </c>
      <c r="K128" s="1" t="s">
        <v>17</v>
      </c>
      <c r="L128" s="1" t="s">
        <v>30</v>
      </c>
      <c r="M128" s="1" t="s">
        <v>26</v>
      </c>
    </row>
    <row r="129" spans="1:13" x14ac:dyDescent="0.3">
      <c r="A129" s="1" t="s">
        <v>270</v>
      </c>
      <c r="B129" s="1" t="s">
        <v>144</v>
      </c>
      <c r="C129">
        <v>1377373</v>
      </c>
      <c r="D129">
        <v>-100397</v>
      </c>
      <c r="E129">
        <v>10001871</v>
      </c>
      <c r="F129" s="1" t="s">
        <v>81</v>
      </c>
      <c r="G129" s="1" t="s">
        <v>44</v>
      </c>
      <c r="H129">
        <v>135</v>
      </c>
      <c r="I129">
        <v>51</v>
      </c>
      <c r="J129">
        <v>11379244</v>
      </c>
      <c r="K129" s="1" t="s">
        <v>17</v>
      </c>
      <c r="L129" s="1" t="s">
        <v>30</v>
      </c>
      <c r="M129" s="1" t="s">
        <v>35</v>
      </c>
    </row>
    <row r="130" spans="1:13" x14ac:dyDescent="0.3">
      <c r="A130" s="1" t="s">
        <v>271</v>
      </c>
      <c r="B130" s="1" t="s">
        <v>272</v>
      </c>
      <c r="C130">
        <v>1368186</v>
      </c>
      <c r="D130">
        <v>-94429</v>
      </c>
      <c r="E130">
        <v>10515041</v>
      </c>
      <c r="F130" s="1" t="s">
        <v>158</v>
      </c>
      <c r="G130" s="1" t="s">
        <v>44</v>
      </c>
      <c r="H130">
        <v>137</v>
      </c>
      <c r="I130">
        <v>1327</v>
      </c>
      <c r="J130">
        <v>11883227</v>
      </c>
      <c r="K130" s="1" t="s">
        <v>17</v>
      </c>
      <c r="L130" s="1" t="s">
        <v>30</v>
      </c>
      <c r="M130" s="1" t="s">
        <v>26</v>
      </c>
    </row>
    <row r="131" spans="1:13" x14ac:dyDescent="0.3">
      <c r="A131" s="1" t="s">
        <v>273</v>
      </c>
      <c r="B131" s="1" t="s">
        <v>274</v>
      </c>
      <c r="C131">
        <v>1367839</v>
      </c>
      <c r="D131">
        <v>-13859</v>
      </c>
      <c r="E131">
        <v>8983873</v>
      </c>
      <c r="F131" s="1" t="s">
        <v>275</v>
      </c>
      <c r="G131" s="1" t="s">
        <v>44</v>
      </c>
      <c r="H131">
        <v>138</v>
      </c>
      <c r="I131">
        <v>440</v>
      </c>
      <c r="J131">
        <v>10351712</v>
      </c>
      <c r="K131" s="1" t="s">
        <v>17</v>
      </c>
      <c r="L131" s="1" t="s">
        <v>30</v>
      </c>
      <c r="M131" s="1" t="s">
        <v>26</v>
      </c>
    </row>
    <row r="132" spans="1:13" x14ac:dyDescent="0.3">
      <c r="A132" s="1" t="s">
        <v>276</v>
      </c>
      <c r="B132" s="1" t="s">
        <v>277</v>
      </c>
      <c r="C132">
        <v>1364636</v>
      </c>
      <c r="D132">
        <v>-88823</v>
      </c>
      <c r="E132">
        <v>10084292</v>
      </c>
      <c r="F132" s="1" t="s">
        <v>278</v>
      </c>
      <c r="G132" s="1" t="s">
        <v>279</v>
      </c>
      <c r="H132">
        <v>139</v>
      </c>
      <c r="I132">
        <v>809</v>
      </c>
      <c r="J132">
        <v>11448928</v>
      </c>
      <c r="K132" s="1" t="s">
        <v>17</v>
      </c>
      <c r="L132" s="1" t="s">
        <v>30</v>
      </c>
      <c r="M132" s="1" t="s">
        <v>26</v>
      </c>
    </row>
    <row r="133" spans="1:13" x14ac:dyDescent="0.3">
      <c r="A133" s="1" t="s">
        <v>280</v>
      </c>
      <c r="B133" s="1" t="s">
        <v>184</v>
      </c>
      <c r="C133">
        <v>1350782</v>
      </c>
      <c r="D133">
        <v>-120313</v>
      </c>
      <c r="E133">
        <v>9629438</v>
      </c>
      <c r="F133" s="1" t="s">
        <v>185</v>
      </c>
      <c r="G133" s="1" t="s">
        <v>44</v>
      </c>
      <c r="H133">
        <v>140</v>
      </c>
      <c r="I133">
        <v>704</v>
      </c>
      <c r="J133">
        <v>10980220</v>
      </c>
      <c r="K133" s="1" t="s">
        <v>17</v>
      </c>
      <c r="L133" s="1" t="s">
        <v>30</v>
      </c>
      <c r="M133" s="1" t="s">
        <v>26</v>
      </c>
    </row>
    <row r="134" spans="1:13" x14ac:dyDescent="0.3">
      <c r="A134" s="1" t="s">
        <v>281</v>
      </c>
      <c r="B134" s="1" t="s">
        <v>282</v>
      </c>
      <c r="C134">
        <v>1350745</v>
      </c>
      <c r="D134">
        <v>-23426</v>
      </c>
      <c r="E134">
        <v>7537107</v>
      </c>
      <c r="F134" s="1" t="s">
        <v>78</v>
      </c>
      <c r="G134" s="1" t="s">
        <v>44</v>
      </c>
      <c r="H134">
        <v>141</v>
      </c>
      <c r="I134">
        <v>753</v>
      </c>
      <c r="J134">
        <v>8887852</v>
      </c>
      <c r="K134" s="1" t="s">
        <v>17</v>
      </c>
      <c r="L134" s="1" t="s">
        <v>30</v>
      </c>
      <c r="M134" s="1" t="s">
        <v>26</v>
      </c>
    </row>
    <row r="135" spans="1:13" x14ac:dyDescent="0.3">
      <c r="A135" s="1" t="s">
        <v>283</v>
      </c>
      <c r="B135" s="1" t="s">
        <v>284</v>
      </c>
      <c r="C135">
        <v>1349819</v>
      </c>
      <c r="D135">
        <v>-151500</v>
      </c>
      <c r="E135">
        <v>10486538</v>
      </c>
      <c r="F135" s="1" t="s">
        <v>285</v>
      </c>
      <c r="G135" s="1" t="s">
        <v>131</v>
      </c>
      <c r="H135">
        <v>142</v>
      </c>
      <c r="I135">
        <v>120</v>
      </c>
      <c r="J135">
        <v>11836357</v>
      </c>
      <c r="K135" s="1" t="s">
        <v>17</v>
      </c>
      <c r="L135" s="1" t="s">
        <v>30</v>
      </c>
      <c r="M135" s="1" t="s">
        <v>26</v>
      </c>
    </row>
    <row r="136" spans="1:13" x14ac:dyDescent="0.3">
      <c r="A136" s="1" t="s">
        <v>286</v>
      </c>
      <c r="B136" s="1" t="s">
        <v>287</v>
      </c>
      <c r="C136">
        <v>1349075</v>
      </c>
      <c r="D136">
        <v>-126873</v>
      </c>
      <c r="E136">
        <v>10424946</v>
      </c>
      <c r="F136" s="1" t="s">
        <v>78</v>
      </c>
      <c r="G136" s="1" t="s">
        <v>74</v>
      </c>
      <c r="H136">
        <v>143</v>
      </c>
      <c r="I136">
        <v>157</v>
      </c>
      <c r="J136">
        <v>11774021</v>
      </c>
      <c r="K136" s="1" t="s">
        <v>17</v>
      </c>
      <c r="L136" s="1" t="s">
        <v>30</v>
      </c>
      <c r="M136" s="1" t="s">
        <v>26</v>
      </c>
    </row>
    <row r="137" spans="1:13" x14ac:dyDescent="0.3">
      <c r="A137" s="1" t="s">
        <v>288</v>
      </c>
      <c r="B137" s="1" t="s">
        <v>42</v>
      </c>
      <c r="C137">
        <v>1348112</v>
      </c>
      <c r="D137">
        <v>-57009</v>
      </c>
      <c r="E137">
        <v>9770863</v>
      </c>
      <c r="F137" s="1" t="s">
        <v>43</v>
      </c>
      <c r="G137" s="1" t="s">
        <v>44</v>
      </c>
      <c r="H137">
        <v>144</v>
      </c>
      <c r="I137">
        <v>118</v>
      </c>
      <c r="J137">
        <v>11118975</v>
      </c>
      <c r="K137" s="1" t="s">
        <v>17</v>
      </c>
      <c r="L137" s="1" t="s">
        <v>30</v>
      </c>
      <c r="M137" s="1" t="s">
        <v>26</v>
      </c>
    </row>
    <row r="138" spans="1:13" x14ac:dyDescent="0.3">
      <c r="A138" s="1" t="s">
        <v>289</v>
      </c>
      <c r="B138" s="1" t="s">
        <v>290</v>
      </c>
      <c r="C138">
        <v>1345799</v>
      </c>
      <c r="D138">
        <v>28946</v>
      </c>
      <c r="E138">
        <v>6232525</v>
      </c>
      <c r="F138" s="1" t="s">
        <v>101</v>
      </c>
      <c r="G138" s="1" t="s">
        <v>74</v>
      </c>
      <c r="H138">
        <v>145</v>
      </c>
      <c r="I138">
        <v>1027</v>
      </c>
      <c r="J138">
        <v>7578324</v>
      </c>
      <c r="K138" s="1" t="s">
        <v>25</v>
      </c>
      <c r="L138" s="1" t="s">
        <v>30</v>
      </c>
      <c r="M138" s="1" t="s">
        <v>26</v>
      </c>
    </row>
    <row r="139" spans="1:13" x14ac:dyDescent="0.3">
      <c r="A139" s="1" t="s">
        <v>291</v>
      </c>
      <c r="B139" s="1" t="s">
        <v>292</v>
      </c>
      <c r="C139">
        <v>1342468</v>
      </c>
      <c r="D139">
        <v>-53818</v>
      </c>
      <c r="E139">
        <v>10132311</v>
      </c>
      <c r="F139" s="1" t="s">
        <v>78</v>
      </c>
      <c r="G139" s="1" t="s">
        <v>74</v>
      </c>
      <c r="H139">
        <v>146</v>
      </c>
      <c r="I139">
        <v>496</v>
      </c>
      <c r="J139">
        <v>11474779</v>
      </c>
      <c r="K139" s="1" t="s">
        <v>17</v>
      </c>
      <c r="L139" s="1" t="s">
        <v>30</v>
      </c>
      <c r="M139" s="1" t="s">
        <v>26</v>
      </c>
    </row>
    <row r="140" spans="1:13" x14ac:dyDescent="0.3">
      <c r="A140" s="1" t="s">
        <v>293</v>
      </c>
      <c r="B140" s="1" t="s">
        <v>294</v>
      </c>
      <c r="C140">
        <v>1335886</v>
      </c>
      <c r="D140">
        <v>-100932</v>
      </c>
      <c r="E140">
        <v>9154300</v>
      </c>
      <c r="F140" s="1" t="s">
        <v>130</v>
      </c>
      <c r="G140" s="1" t="s">
        <v>44</v>
      </c>
      <c r="H140">
        <v>147</v>
      </c>
      <c r="I140">
        <v>1637</v>
      </c>
      <c r="J140">
        <v>10490186</v>
      </c>
      <c r="K140" s="1" t="s">
        <v>17</v>
      </c>
      <c r="L140" s="1" t="s">
        <v>30</v>
      </c>
      <c r="M140" s="1" t="s">
        <v>26</v>
      </c>
    </row>
    <row r="141" spans="1:13" x14ac:dyDescent="0.3">
      <c r="A141" s="1" t="s">
        <v>295</v>
      </c>
      <c r="B141" s="1" t="s">
        <v>296</v>
      </c>
      <c r="C141">
        <v>1330852</v>
      </c>
      <c r="D141">
        <v>24927</v>
      </c>
      <c r="E141">
        <v>6218904</v>
      </c>
      <c r="F141" s="1" t="s">
        <v>43</v>
      </c>
      <c r="G141" s="1" t="s">
        <v>174</v>
      </c>
      <c r="H141">
        <v>148</v>
      </c>
      <c r="I141">
        <v>338</v>
      </c>
      <c r="J141">
        <v>7549756</v>
      </c>
      <c r="K141" s="1" t="s">
        <v>25</v>
      </c>
      <c r="L141" s="1" t="s">
        <v>30</v>
      </c>
      <c r="M141" s="1" t="s">
        <v>26</v>
      </c>
    </row>
    <row r="142" spans="1:13" x14ac:dyDescent="0.3">
      <c r="A142" s="1" t="s">
        <v>297</v>
      </c>
      <c r="B142" s="1" t="s">
        <v>298</v>
      </c>
      <c r="C142">
        <v>1326162</v>
      </c>
      <c r="D142">
        <v>-38797</v>
      </c>
      <c r="E142">
        <v>8914757</v>
      </c>
      <c r="F142" s="1" t="s">
        <v>299</v>
      </c>
      <c r="G142" s="1" t="s">
        <v>44</v>
      </c>
      <c r="H142">
        <v>149</v>
      </c>
      <c r="I142">
        <v>617</v>
      </c>
      <c r="J142">
        <v>10240919</v>
      </c>
      <c r="K142" s="1" t="s">
        <v>17</v>
      </c>
      <c r="L142" s="1" t="s">
        <v>30</v>
      </c>
      <c r="M142" s="1" t="s">
        <v>26</v>
      </c>
    </row>
    <row r="143" spans="1:13" x14ac:dyDescent="0.3">
      <c r="A143" s="1" t="s">
        <v>300</v>
      </c>
      <c r="B143" s="1" t="s">
        <v>46</v>
      </c>
      <c r="C143">
        <v>1326149</v>
      </c>
      <c r="D143">
        <v>-90827</v>
      </c>
      <c r="E143">
        <v>9468025</v>
      </c>
      <c r="F143" s="1" t="s">
        <v>68</v>
      </c>
      <c r="G143" s="1" t="s">
        <v>47</v>
      </c>
      <c r="H143">
        <v>150</v>
      </c>
      <c r="I143">
        <v>395</v>
      </c>
      <c r="J143">
        <v>10794174</v>
      </c>
      <c r="K143" s="1" t="s">
        <v>17</v>
      </c>
      <c r="L143" s="1" t="s">
        <v>30</v>
      </c>
      <c r="M143" s="1" t="s">
        <v>26</v>
      </c>
    </row>
    <row r="144" spans="1:13" x14ac:dyDescent="0.3">
      <c r="A144" s="1" t="s">
        <v>301</v>
      </c>
      <c r="B144" s="1" t="s">
        <v>63</v>
      </c>
      <c r="C144">
        <v>1311077</v>
      </c>
      <c r="D144">
        <v>-73973</v>
      </c>
      <c r="E144">
        <v>8934698</v>
      </c>
      <c r="F144" s="1" t="s">
        <v>43</v>
      </c>
      <c r="G144" s="1" t="s">
        <v>44</v>
      </c>
      <c r="H144">
        <v>152</v>
      </c>
      <c r="I144">
        <v>347</v>
      </c>
      <c r="J144">
        <v>10245775</v>
      </c>
      <c r="K144" s="1" t="s">
        <v>17</v>
      </c>
      <c r="L144" s="1" t="s">
        <v>30</v>
      </c>
      <c r="M144" s="1" t="s">
        <v>26</v>
      </c>
    </row>
    <row r="145" spans="1:13" x14ac:dyDescent="0.3">
      <c r="A145" s="1" t="s">
        <v>302</v>
      </c>
      <c r="B145" s="1" t="s">
        <v>303</v>
      </c>
      <c r="C145">
        <v>1306200</v>
      </c>
      <c r="D145">
        <v>-28788</v>
      </c>
      <c r="E145">
        <v>9226178</v>
      </c>
      <c r="F145" s="1" t="s">
        <v>43</v>
      </c>
      <c r="G145" s="1" t="s">
        <v>44</v>
      </c>
      <c r="H145">
        <v>153</v>
      </c>
      <c r="I145">
        <v>712</v>
      </c>
      <c r="J145">
        <v>10532378</v>
      </c>
      <c r="K145" s="1" t="s">
        <v>17</v>
      </c>
      <c r="L145" s="1" t="s">
        <v>30</v>
      </c>
      <c r="M145" s="1" t="s">
        <v>26</v>
      </c>
    </row>
    <row r="146" spans="1:13" x14ac:dyDescent="0.3">
      <c r="A146" s="1" t="s">
        <v>304</v>
      </c>
      <c r="B146" s="1" t="s">
        <v>89</v>
      </c>
      <c r="C146">
        <v>1296957</v>
      </c>
      <c r="D146">
        <v>-1727</v>
      </c>
      <c r="E146">
        <v>5009467</v>
      </c>
      <c r="F146" s="1" t="s">
        <v>43</v>
      </c>
      <c r="G146" s="1" t="s">
        <v>44</v>
      </c>
      <c r="H146">
        <v>154</v>
      </c>
      <c r="I146">
        <v>503</v>
      </c>
      <c r="J146">
        <v>6306424</v>
      </c>
      <c r="K146" s="1" t="s">
        <v>17</v>
      </c>
      <c r="L146" s="1" t="s">
        <v>30</v>
      </c>
      <c r="M146" s="1" t="s">
        <v>26</v>
      </c>
    </row>
    <row r="147" spans="1:13" x14ac:dyDescent="0.3">
      <c r="A147" s="1" t="s">
        <v>305</v>
      </c>
      <c r="B147" s="1" t="s">
        <v>207</v>
      </c>
      <c r="C147">
        <v>1296297</v>
      </c>
      <c r="D147">
        <v>19803</v>
      </c>
      <c r="E147">
        <v>8708123</v>
      </c>
      <c r="F147" s="1" t="s">
        <v>81</v>
      </c>
      <c r="G147" s="1" t="s">
        <v>142</v>
      </c>
      <c r="H147">
        <v>155</v>
      </c>
      <c r="I147">
        <v>284</v>
      </c>
      <c r="J147">
        <v>10004420</v>
      </c>
      <c r="K147" s="1" t="s">
        <v>25</v>
      </c>
      <c r="L147" s="1" t="s">
        <v>30</v>
      </c>
      <c r="M147" s="1" t="s">
        <v>26</v>
      </c>
    </row>
    <row r="148" spans="1:13" x14ac:dyDescent="0.3">
      <c r="A148" s="1" t="s">
        <v>306</v>
      </c>
      <c r="B148" s="1" t="s">
        <v>307</v>
      </c>
      <c r="C148">
        <v>1294677</v>
      </c>
      <c r="D148">
        <v>-8737</v>
      </c>
      <c r="E148">
        <v>9158699</v>
      </c>
      <c r="F148" s="1" t="s">
        <v>166</v>
      </c>
      <c r="G148" s="1" t="s">
        <v>44</v>
      </c>
      <c r="H148">
        <v>156</v>
      </c>
      <c r="I148">
        <v>773</v>
      </c>
      <c r="J148">
        <v>10453376</v>
      </c>
      <c r="K148" s="1" t="s">
        <v>17</v>
      </c>
      <c r="L148" s="1" t="s">
        <v>30</v>
      </c>
      <c r="M148" s="1" t="s">
        <v>26</v>
      </c>
    </row>
    <row r="149" spans="1:13" x14ac:dyDescent="0.3">
      <c r="A149" s="1" t="s">
        <v>308</v>
      </c>
      <c r="B149" s="1" t="s">
        <v>77</v>
      </c>
      <c r="C149">
        <v>1294001</v>
      </c>
      <c r="D149">
        <v>-190275</v>
      </c>
      <c r="E149">
        <v>11338844</v>
      </c>
      <c r="F149" s="1" t="s">
        <v>43</v>
      </c>
      <c r="G149" s="1" t="s">
        <v>34</v>
      </c>
      <c r="H149">
        <v>157</v>
      </c>
      <c r="I149">
        <v>16</v>
      </c>
      <c r="J149">
        <v>12632845</v>
      </c>
      <c r="K149" s="1" t="s">
        <v>17</v>
      </c>
      <c r="L149" s="1" t="s">
        <v>30</v>
      </c>
      <c r="M149" s="1" t="s">
        <v>19</v>
      </c>
    </row>
    <row r="150" spans="1:13" x14ac:dyDescent="0.3">
      <c r="A150" s="1" t="s">
        <v>309</v>
      </c>
      <c r="B150" s="1" t="s">
        <v>256</v>
      </c>
      <c r="C150">
        <v>1292535</v>
      </c>
      <c r="D150">
        <v>-110188</v>
      </c>
      <c r="E150">
        <v>7904030</v>
      </c>
      <c r="F150" s="1" t="s">
        <v>43</v>
      </c>
      <c r="G150" s="1" t="s">
        <v>44</v>
      </c>
      <c r="H150">
        <v>158</v>
      </c>
      <c r="I150">
        <v>823</v>
      </c>
      <c r="J150">
        <v>9196565</v>
      </c>
      <c r="K150" s="1" t="s">
        <v>17</v>
      </c>
      <c r="L150" s="1" t="s">
        <v>30</v>
      </c>
      <c r="M150" s="1" t="s">
        <v>26</v>
      </c>
    </row>
    <row r="151" spans="1:13" x14ac:dyDescent="0.3">
      <c r="A151" s="1" t="s">
        <v>310</v>
      </c>
      <c r="B151" s="1" t="s">
        <v>311</v>
      </c>
      <c r="C151">
        <v>1290404</v>
      </c>
      <c r="D151">
        <v>5746</v>
      </c>
      <c r="E151">
        <v>3835428</v>
      </c>
      <c r="F151" s="1" t="s">
        <v>85</v>
      </c>
      <c r="G151" s="1" t="s">
        <v>44</v>
      </c>
      <c r="H151">
        <v>159</v>
      </c>
      <c r="I151">
        <v>63</v>
      </c>
      <c r="J151">
        <v>5125832</v>
      </c>
      <c r="K151" s="1" t="s">
        <v>25</v>
      </c>
      <c r="L151" s="1" t="s">
        <v>30</v>
      </c>
      <c r="M151" s="1" t="s">
        <v>35</v>
      </c>
    </row>
    <row r="152" spans="1:13" x14ac:dyDescent="0.3">
      <c r="A152" s="1" t="s">
        <v>312</v>
      </c>
      <c r="B152" s="1" t="s">
        <v>313</v>
      </c>
      <c r="C152">
        <v>1286520</v>
      </c>
      <c r="D152">
        <v>-64148</v>
      </c>
      <c r="E152">
        <v>8821556</v>
      </c>
      <c r="F152" s="1" t="s">
        <v>314</v>
      </c>
      <c r="G152" s="1" t="s">
        <v>74</v>
      </c>
      <c r="H152">
        <v>160</v>
      </c>
      <c r="I152">
        <v>884</v>
      </c>
      <c r="J152">
        <v>10108076</v>
      </c>
      <c r="K152" s="1" t="s">
        <v>17</v>
      </c>
      <c r="L152" s="1" t="s">
        <v>30</v>
      </c>
      <c r="M152" s="1" t="s">
        <v>26</v>
      </c>
    </row>
    <row r="153" spans="1:13" x14ac:dyDescent="0.3">
      <c r="A153" s="1" t="s">
        <v>315</v>
      </c>
      <c r="B153" s="1" t="s">
        <v>316</v>
      </c>
      <c r="C153">
        <v>1283948</v>
      </c>
      <c r="D153">
        <v>40456</v>
      </c>
      <c r="E153">
        <v>6149401</v>
      </c>
      <c r="F153" s="1" t="s">
        <v>43</v>
      </c>
      <c r="G153" s="1" t="s">
        <v>317</v>
      </c>
      <c r="H153">
        <v>161</v>
      </c>
      <c r="I153">
        <v>620</v>
      </c>
      <c r="J153">
        <v>7433349</v>
      </c>
      <c r="K153" s="1" t="s">
        <v>25</v>
      </c>
      <c r="L153" s="1" t="s">
        <v>30</v>
      </c>
      <c r="M153" s="1" t="s">
        <v>26</v>
      </c>
    </row>
    <row r="154" spans="1:13" x14ac:dyDescent="0.3">
      <c r="A154" s="1" t="s">
        <v>318</v>
      </c>
      <c r="B154" s="1" t="s">
        <v>319</v>
      </c>
      <c r="C154">
        <v>1282248</v>
      </c>
      <c r="D154">
        <v>-87604</v>
      </c>
      <c r="E154">
        <v>8781747</v>
      </c>
      <c r="F154" s="1" t="s">
        <v>130</v>
      </c>
      <c r="G154" s="1" t="s">
        <v>44</v>
      </c>
      <c r="H154">
        <v>163</v>
      </c>
      <c r="I154">
        <v>1211</v>
      </c>
      <c r="J154">
        <v>10063995</v>
      </c>
      <c r="K154" s="1" t="s">
        <v>17</v>
      </c>
      <c r="L154" s="1" t="s">
        <v>30</v>
      </c>
      <c r="M154" s="1" t="s">
        <v>26</v>
      </c>
    </row>
    <row r="155" spans="1:13" x14ac:dyDescent="0.3">
      <c r="A155" s="1" t="s">
        <v>320</v>
      </c>
      <c r="B155" s="1" t="s">
        <v>321</v>
      </c>
      <c r="C155">
        <v>1281664</v>
      </c>
      <c r="D155">
        <v>-20169</v>
      </c>
      <c r="E155">
        <v>8990092</v>
      </c>
      <c r="F155" s="1" t="s">
        <v>43</v>
      </c>
      <c r="G155" s="1" t="s">
        <v>131</v>
      </c>
      <c r="H155">
        <v>164</v>
      </c>
      <c r="I155">
        <v>252</v>
      </c>
      <c r="J155">
        <v>10271756</v>
      </c>
      <c r="K155" s="1" t="s">
        <v>17</v>
      </c>
      <c r="L155" s="1" t="s">
        <v>30</v>
      </c>
      <c r="M155" s="1" t="s">
        <v>26</v>
      </c>
    </row>
    <row r="156" spans="1:13" x14ac:dyDescent="0.3">
      <c r="A156" s="1" t="s">
        <v>322</v>
      </c>
      <c r="B156" s="1" t="s">
        <v>323</v>
      </c>
      <c r="C156">
        <v>1281251</v>
      </c>
      <c r="D156">
        <v>-6790</v>
      </c>
      <c r="E156">
        <v>5025791</v>
      </c>
      <c r="F156" s="1" t="s">
        <v>43</v>
      </c>
      <c r="G156" s="1" t="s">
        <v>44</v>
      </c>
      <c r="H156">
        <v>165</v>
      </c>
      <c r="I156">
        <v>2292</v>
      </c>
      <c r="J156">
        <v>6307042</v>
      </c>
      <c r="K156" s="1" t="s">
        <v>17</v>
      </c>
      <c r="L156" s="1" t="s">
        <v>30</v>
      </c>
      <c r="M156" s="1" t="s">
        <v>26</v>
      </c>
    </row>
    <row r="157" spans="1:13" x14ac:dyDescent="0.3">
      <c r="A157" s="1" t="s">
        <v>324</v>
      </c>
      <c r="B157" s="1" t="s">
        <v>325</v>
      </c>
      <c r="C157">
        <v>1279646</v>
      </c>
      <c r="D157">
        <v>-21334</v>
      </c>
      <c r="E157">
        <v>4937908</v>
      </c>
      <c r="F157" s="1" t="s">
        <v>43</v>
      </c>
      <c r="G157" s="1" t="s">
        <v>326</v>
      </c>
      <c r="H157">
        <v>167</v>
      </c>
      <c r="I157">
        <v>14</v>
      </c>
      <c r="J157">
        <v>6217554</v>
      </c>
      <c r="K157" s="1" t="s">
        <v>17</v>
      </c>
      <c r="L157" s="1" t="s">
        <v>30</v>
      </c>
      <c r="M157" s="1" t="s">
        <v>19</v>
      </c>
    </row>
    <row r="158" spans="1:13" x14ac:dyDescent="0.3">
      <c r="A158" s="1" t="s">
        <v>327</v>
      </c>
      <c r="B158" s="1" t="s">
        <v>328</v>
      </c>
      <c r="C158">
        <v>1275766</v>
      </c>
      <c r="D158">
        <v>-114450</v>
      </c>
      <c r="E158">
        <v>9103531</v>
      </c>
      <c r="F158" s="1" t="s">
        <v>85</v>
      </c>
      <c r="G158" s="1" t="s">
        <v>44</v>
      </c>
      <c r="H158">
        <v>169</v>
      </c>
      <c r="I158">
        <v>20</v>
      </c>
      <c r="J158">
        <v>10379297</v>
      </c>
      <c r="K158" s="1" t="s">
        <v>17</v>
      </c>
      <c r="L158" s="1" t="s">
        <v>30</v>
      </c>
      <c r="M158" s="1" t="s">
        <v>19</v>
      </c>
    </row>
    <row r="159" spans="1:13" x14ac:dyDescent="0.3">
      <c r="A159" s="1" t="s">
        <v>329</v>
      </c>
      <c r="B159" s="1" t="s">
        <v>87</v>
      </c>
      <c r="C159">
        <v>1275472</v>
      </c>
      <c r="D159">
        <v>-64590</v>
      </c>
      <c r="E159">
        <v>8736190</v>
      </c>
      <c r="F159" s="1" t="s">
        <v>43</v>
      </c>
      <c r="G159" s="1" t="s">
        <v>44</v>
      </c>
      <c r="H159">
        <v>170</v>
      </c>
      <c r="I159">
        <v>389</v>
      </c>
      <c r="J159">
        <v>10011662</v>
      </c>
      <c r="K159" s="1" t="s">
        <v>17</v>
      </c>
      <c r="L159" s="1" t="s">
        <v>30</v>
      </c>
      <c r="M159" s="1" t="s">
        <v>26</v>
      </c>
    </row>
    <row r="160" spans="1:13" x14ac:dyDescent="0.3">
      <c r="A160" s="1" t="s">
        <v>330</v>
      </c>
      <c r="B160" s="1" t="s">
        <v>63</v>
      </c>
      <c r="C160">
        <v>1268541</v>
      </c>
      <c r="D160">
        <v>9198</v>
      </c>
      <c r="E160">
        <v>2527884</v>
      </c>
      <c r="F160" s="1" t="s">
        <v>43</v>
      </c>
      <c r="G160" s="1" t="s">
        <v>44</v>
      </c>
      <c r="H160">
        <v>172</v>
      </c>
      <c r="I160">
        <v>1014</v>
      </c>
      <c r="J160">
        <v>3796425</v>
      </c>
      <c r="K160" s="1" t="s">
        <v>25</v>
      </c>
      <c r="L160" s="1" t="s">
        <v>30</v>
      </c>
      <c r="M160" s="1" t="s">
        <v>26</v>
      </c>
    </row>
    <row r="161" spans="1:13" x14ac:dyDescent="0.3">
      <c r="A161" s="1" t="s">
        <v>331</v>
      </c>
      <c r="B161" s="1" t="s">
        <v>332</v>
      </c>
      <c r="C161">
        <v>1263767</v>
      </c>
      <c r="D161">
        <v>15843</v>
      </c>
      <c r="E161">
        <v>6006104</v>
      </c>
      <c r="F161" s="1" t="s">
        <v>101</v>
      </c>
      <c r="G161" s="1" t="s">
        <v>74</v>
      </c>
      <c r="H161">
        <v>173</v>
      </c>
      <c r="I161">
        <v>53</v>
      </c>
      <c r="J161">
        <v>7269871</v>
      </c>
      <c r="K161" s="1" t="s">
        <v>25</v>
      </c>
      <c r="L161" s="1" t="s">
        <v>30</v>
      </c>
      <c r="M161" s="1" t="s">
        <v>35</v>
      </c>
    </row>
    <row r="162" spans="1:13" x14ac:dyDescent="0.3">
      <c r="A162" s="1" t="s">
        <v>333</v>
      </c>
      <c r="B162" s="1" t="s">
        <v>180</v>
      </c>
      <c r="C162">
        <v>1260494</v>
      </c>
      <c r="D162">
        <v>-89450</v>
      </c>
      <c r="E162">
        <v>9151667</v>
      </c>
      <c r="F162" s="1" t="s">
        <v>130</v>
      </c>
      <c r="G162" s="1" t="s">
        <v>44</v>
      </c>
      <c r="H162">
        <v>175</v>
      </c>
      <c r="I162">
        <v>483</v>
      </c>
      <c r="J162">
        <v>10412161</v>
      </c>
      <c r="K162" s="1" t="s">
        <v>17</v>
      </c>
      <c r="L162" s="1" t="s">
        <v>30</v>
      </c>
      <c r="M162" s="1" t="s">
        <v>26</v>
      </c>
    </row>
    <row r="163" spans="1:13" x14ac:dyDescent="0.3">
      <c r="A163" s="1" t="s">
        <v>334</v>
      </c>
      <c r="B163" s="1" t="s">
        <v>335</v>
      </c>
      <c r="C163">
        <v>1259173</v>
      </c>
      <c r="D163">
        <v>-27420</v>
      </c>
      <c r="E163">
        <v>8754899</v>
      </c>
      <c r="F163" s="1" t="s">
        <v>59</v>
      </c>
      <c r="G163" s="1" t="s">
        <v>44</v>
      </c>
      <c r="H163">
        <v>176</v>
      </c>
      <c r="I163">
        <v>80</v>
      </c>
      <c r="J163">
        <v>10014072</v>
      </c>
      <c r="K163" s="1" t="s">
        <v>17</v>
      </c>
      <c r="L163" s="1" t="s">
        <v>30</v>
      </c>
      <c r="M163" s="1" t="s">
        <v>35</v>
      </c>
    </row>
    <row r="164" spans="1:13" x14ac:dyDescent="0.3">
      <c r="A164" s="1" t="s">
        <v>336</v>
      </c>
      <c r="B164" s="1" t="s">
        <v>256</v>
      </c>
      <c r="C164">
        <v>1257351</v>
      </c>
      <c r="D164">
        <v>-87753</v>
      </c>
      <c r="E164">
        <v>7352626</v>
      </c>
      <c r="F164" s="1" t="s">
        <v>43</v>
      </c>
      <c r="G164" s="1" t="s">
        <v>44</v>
      </c>
      <c r="H164">
        <v>177</v>
      </c>
      <c r="I164">
        <v>30</v>
      </c>
      <c r="J164">
        <v>8609977</v>
      </c>
      <c r="K164" s="1" t="s">
        <v>17</v>
      </c>
      <c r="L164" s="1" t="s">
        <v>30</v>
      </c>
      <c r="M164" s="1" t="s">
        <v>19</v>
      </c>
    </row>
    <row r="165" spans="1:13" x14ac:dyDescent="0.3">
      <c r="A165" s="1" t="s">
        <v>337</v>
      </c>
      <c r="B165" s="1" t="s">
        <v>144</v>
      </c>
      <c r="C165">
        <v>1254541</v>
      </c>
      <c r="D165">
        <v>-53350</v>
      </c>
      <c r="E165">
        <v>9273774</v>
      </c>
      <c r="F165" s="1" t="s">
        <v>81</v>
      </c>
      <c r="G165" s="1" t="s">
        <v>44</v>
      </c>
      <c r="H165">
        <v>178</v>
      </c>
      <c r="I165">
        <v>454</v>
      </c>
      <c r="J165">
        <v>10528315</v>
      </c>
      <c r="K165" s="1" t="s">
        <v>17</v>
      </c>
      <c r="L165" s="1" t="s">
        <v>30</v>
      </c>
      <c r="M165" s="1" t="s">
        <v>26</v>
      </c>
    </row>
    <row r="166" spans="1:13" x14ac:dyDescent="0.3">
      <c r="A166" s="1" t="s">
        <v>338</v>
      </c>
      <c r="B166" s="1" t="s">
        <v>339</v>
      </c>
      <c r="C166">
        <v>1251765</v>
      </c>
      <c r="D166">
        <v>-19664</v>
      </c>
      <c r="E166">
        <v>2523194</v>
      </c>
      <c r="F166" s="1" t="s">
        <v>43</v>
      </c>
      <c r="G166" s="1" t="s">
        <v>44</v>
      </c>
      <c r="H166">
        <v>179</v>
      </c>
      <c r="I166">
        <v>99</v>
      </c>
      <c r="J166">
        <v>3774959</v>
      </c>
      <c r="K166" s="1" t="s">
        <v>17</v>
      </c>
      <c r="L166" s="1" t="s">
        <v>30</v>
      </c>
      <c r="M166" s="1" t="s">
        <v>35</v>
      </c>
    </row>
    <row r="167" spans="1:13" x14ac:dyDescent="0.3">
      <c r="A167" s="1" t="s">
        <v>340</v>
      </c>
      <c r="B167" s="1" t="s">
        <v>341</v>
      </c>
      <c r="C167">
        <v>1245007</v>
      </c>
      <c r="D167">
        <v>-77995</v>
      </c>
      <c r="E167">
        <v>9035434</v>
      </c>
      <c r="F167" s="1" t="s">
        <v>342</v>
      </c>
      <c r="G167" s="1" t="s">
        <v>131</v>
      </c>
      <c r="H167">
        <v>181</v>
      </c>
      <c r="I167">
        <v>270</v>
      </c>
      <c r="J167">
        <v>10280441</v>
      </c>
      <c r="K167" s="1" t="s">
        <v>17</v>
      </c>
      <c r="L167" s="1" t="s">
        <v>30</v>
      </c>
      <c r="M167" s="1" t="s">
        <v>26</v>
      </c>
    </row>
    <row r="168" spans="1:13" x14ac:dyDescent="0.3">
      <c r="A168" s="1" t="s">
        <v>343</v>
      </c>
      <c r="B168" s="1" t="s">
        <v>344</v>
      </c>
      <c r="C168">
        <v>1241168</v>
      </c>
      <c r="D168">
        <v>-39451</v>
      </c>
      <c r="E168">
        <v>8480893</v>
      </c>
      <c r="F168" s="1" t="s">
        <v>43</v>
      </c>
      <c r="G168" s="1" t="s">
        <v>74</v>
      </c>
      <c r="H168">
        <v>185</v>
      </c>
      <c r="I168">
        <v>244</v>
      </c>
      <c r="J168">
        <v>9722061</v>
      </c>
      <c r="K168" s="1" t="s">
        <v>17</v>
      </c>
      <c r="L168" s="1" t="s">
        <v>30</v>
      </c>
      <c r="M168" s="1" t="s">
        <v>26</v>
      </c>
    </row>
    <row r="169" spans="1:13" x14ac:dyDescent="0.3">
      <c r="A169" s="1" t="s">
        <v>345</v>
      </c>
      <c r="B169" s="1" t="s">
        <v>346</v>
      </c>
      <c r="C169">
        <v>1239884</v>
      </c>
      <c r="D169">
        <v>-37552</v>
      </c>
      <c r="E169">
        <v>4891917</v>
      </c>
      <c r="F169" s="1" t="s">
        <v>130</v>
      </c>
      <c r="G169" s="1" t="s">
        <v>44</v>
      </c>
      <c r="H169">
        <v>187</v>
      </c>
      <c r="I169">
        <v>791</v>
      </c>
      <c r="J169">
        <v>6131801</v>
      </c>
      <c r="K169" s="1" t="s">
        <v>17</v>
      </c>
      <c r="L169" s="1" t="s">
        <v>30</v>
      </c>
      <c r="M169" s="1" t="s">
        <v>26</v>
      </c>
    </row>
    <row r="170" spans="1:13" x14ac:dyDescent="0.3">
      <c r="A170" s="1" t="s">
        <v>347</v>
      </c>
      <c r="B170" s="1" t="s">
        <v>348</v>
      </c>
      <c r="C170">
        <v>1237223</v>
      </c>
      <c r="D170">
        <v>-11727</v>
      </c>
      <c r="E170">
        <v>4787172</v>
      </c>
      <c r="F170" s="1" t="s">
        <v>130</v>
      </c>
      <c r="G170" s="1" t="s">
        <v>44</v>
      </c>
      <c r="H170">
        <v>188</v>
      </c>
      <c r="I170">
        <v>5</v>
      </c>
      <c r="J170">
        <v>6024395</v>
      </c>
      <c r="K170" s="1" t="s">
        <v>17</v>
      </c>
      <c r="L170" s="1" t="s">
        <v>30</v>
      </c>
      <c r="M170" s="1" t="s">
        <v>19</v>
      </c>
    </row>
    <row r="171" spans="1:13" x14ac:dyDescent="0.3">
      <c r="A171" s="1" t="s">
        <v>349</v>
      </c>
      <c r="B171" s="1" t="s">
        <v>224</v>
      </c>
      <c r="C171">
        <v>1227709</v>
      </c>
      <c r="D171">
        <v>-74196</v>
      </c>
      <c r="E171">
        <v>8956978</v>
      </c>
      <c r="F171" s="1" t="s">
        <v>43</v>
      </c>
      <c r="G171" s="1" t="s">
        <v>74</v>
      </c>
      <c r="H171">
        <v>190</v>
      </c>
      <c r="I171">
        <v>3070</v>
      </c>
      <c r="J171">
        <v>10184687</v>
      </c>
      <c r="K171" s="1" t="s">
        <v>17</v>
      </c>
      <c r="L171" s="1" t="s">
        <v>30</v>
      </c>
      <c r="M171" s="1" t="s">
        <v>26</v>
      </c>
    </row>
    <row r="172" spans="1:13" x14ac:dyDescent="0.3">
      <c r="A172" s="1" t="s">
        <v>350</v>
      </c>
      <c r="B172" s="1" t="s">
        <v>351</v>
      </c>
      <c r="C172">
        <v>1227362</v>
      </c>
      <c r="D172">
        <v>-104470</v>
      </c>
      <c r="E172">
        <v>7508206</v>
      </c>
      <c r="F172" s="1" t="s">
        <v>66</v>
      </c>
      <c r="G172" s="1" t="s">
        <v>44</v>
      </c>
      <c r="H172">
        <v>191</v>
      </c>
      <c r="I172">
        <v>1093</v>
      </c>
      <c r="J172">
        <v>8735568</v>
      </c>
      <c r="K172" s="1" t="s">
        <v>17</v>
      </c>
      <c r="L172" s="1" t="s">
        <v>30</v>
      </c>
      <c r="M172" s="1" t="s">
        <v>26</v>
      </c>
    </row>
    <row r="173" spans="1:13" x14ac:dyDescent="0.3">
      <c r="A173" s="1" t="s">
        <v>352</v>
      </c>
      <c r="B173" s="1" t="s">
        <v>242</v>
      </c>
      <c r="C173">
        <v>1224750</v>
      </c>
      <c r="D173">
        <v>-89453</v>
      </c>
      <c r="E173">
        <v>6372663</v>
      </c>
      <c r="F173" s="1" t="s">
        <v>243</v>
      </c>
      <c r="G173" s="1" t="s">
        <v>44</v>
      </c>
      <c r="H173">
        <v>192</v>
      </c>
      <c r="I173">
        <v>153</v>
      </c>
      <c r="J173">
        <v>7597413</v>
      </c>
      <c r="K173" s="1" t="s">
        <v>17</v>
      </c>
      <c r="L173" s="1" t="s">
        <v>30</v>
      </c>
      <c r="M173" s="1" t="s">
        <v>26</v>
      </c>
    </row>
    <row r="174" spans="1:13" x14ac:dyDescent="0.3">
      <c r="A174" s="1" t="s">
        <v>353</v>
      </c>
      <c r="B174" s="1" t="s">
        <v>256</v>
      </c>
      <c r="C174">
        <v>1224675</v>
      </c>
      <c r="D174">
        <v>-24245</v>
      </c>
      <c r="E174">
        <v>8638532</v>
      </c>
      <c r="F174" s="1" t="s">
        <v>43</v>
      </c>
      <c r="G174" s="1" t="s">
        <v>44</v>
      </c>
      <c r="H174">
        <v>193</v>
      </c>
      <c r="I174">
        <v>346</v>
      </c>
      <c r="J174">
        <v>9863207</v>
      </c>
      <c r="K174" s="1" t="s">
        <v>17</v>
      </c>
      <c r="L174" s="1" t="s">
        <v>30</v>
      </c>
      <c r="M174" s="1" t="s">
        <v>26</v>
      </c>
    </row>
    <row r="175" spans="1:13" x14ac:dyDescent="0.3">
      <c r="A175" s="1" t="s">
        <v>354</v>
      </c>
      <c r="B175" s="1" t="s">
        <v>149</v>
      </c>
      <c r="C175">
        <v>1210598</v>
      </c>
      <c r="D175">
        <v>-79537</v>
      </c>
      <c r="E175">
        <v>8817306</v>
      </c>
      <c r="F175" s="1" t="s">
        <v>78</v>
      </c>
      <c r="G175" s="1" t="s">
        <v>74</v>
      </c>
      <c r="H175">
        <v>196</v>
      </c>
      <c r="I175">
        <v>205</v>
      </c>
      <c r="J175">
        <v>10027904</v>
      </c>
      <c r="K175" s="1" t="s">
        <v>17</v>
      </c>
      <c r="L175" s="1" t="s">
        <v>30</v>
      </c>
      <c r="M175" s="1" t="s">
        <v>26</v>
      </c>
    </row>
    <row r="176" spans="1:13" x14ac:dyDescent="0.3">
      <c r="A176" s="1" t="s">
        <v>355</v>
      </c>
      <c r="B176" s="1" t="s">
        <v>256</v>
      </c>
      <c r="C176">
        <v>1203160</v>
      </c>
      <c r="D176">
        <v>-69820</v>
      </c>
      <c r="E176">
        <v>7439269</v>
      </c>
      <c r="F176" s="1" t="s">
        <v>356</v>
      </c>
      <c r="G176" s="1" t="s">
        <v>44</v>
      </c>
      <c r="H176">
        <v>197</v>
      </c>
      <c r="I176">
        <v>352</v>
      </c>
      <c r="J176">
        <v>8642429</v>
      </c>
      <c r="K176" s="1" t="s">
        <v>17</v>
      </c>
      <c r="L176" s="1" t="s">
        <v>30</v>
      </c>
      <c r="M176" s="1" t="s">
        <v>26</v>
      </c>
    </row>
    <row r="177" spans="1:13" x14ac:dyDescent="0.3">
      <c r="A177" s="1" t="s">
        <v>357</v>
      </c>
      <c r="B177" s="1" t="s">
        <v>77</v>
      </c>
      <c r="C177">
        <v>1198929</v>
      </c>
      <c r="D177">
        <v>-121566</v>
      </c>
      <c r="E177">
        <v>3816744</v>
      </c>
      <c r="F177" s="1" t="s">
        <v>43</v>
      </c>
      <c r="G177" s="1" t="s">
        <v>34</v>
      </c>
      <c r="H177">
        <v>198</v>
      </c>
      <c r="I177">
        <v>331</v>
      </c>
      <c r="J177">
        <v>5015673</v>
      </c>
      <c r="K177" s="1" t="s">
        <v>17</v>
      </c>
      <c r="L177" s="1" t="s">
        <v>30</v>
      </c>
      <c r="M177" s="1" t="s">
        <v>26</v>
      </c>
    </row>
    <row r="178" spans="1:13" x14ac:dyDescent="0.3">
      <c r="A178" s="1" t="s">
        <v>358</v>
      </c>
      <c r="B178" s="1" t="s">
        <v>321</v>
      </c>
      <c r="C178">
        <v>1192146</v>
      </c>
      <c r="D178">
        <v>-86760</v>
      </c>
      <c r="E178">
        <v>7346804</v>
      </c>
      <c r="F178" s="1" t="s">
        <v>43</v>
      </c>
      <c r="G178" s="1" t="s">
        <v>131</v>
      </c>
      <c r="H178">
        <v>199</v>
      </c>
      <c r="I178">
        <v>767</v>
      </c>
      <c r="J178">
        <v>8538950</v>
      </c>
      <c r="K178" s="1" t="s">
        <v>17</v>
      </c>
      <c r="L178" s="1" t="s">
        <v>30</v>
      </c>
      <c r="M178" s="1" t="s">
        <v>26</v>
      </c>
    </row>
    <row r="179" spans="1:13" x14ac:dyDescent="0.3">
      <c r="A179" s="1" t="s">
        <v>359</v>
      </c>
      <c r="B179" s="1" t="s">
        <v>14</v>
      </c>
      <c r="C179">
        <v>1191777</v>
      </c>
      <c r="D179">
        <v>-76127</v>
      </c>
      <c r="E179">
        <v>8979038</v>
      </c>
      <c r="F179" s="1" t="s">
        <v>15</v>
      </c>
      <c r="G179" s="1" t="s">
        <v>16</v>
      </c>
      <c r="H179">
        <v>200</v>
      </c>
      <c r="I179">
        <v>207</v>
      </c>
      <c r="J179">
        <v>10170815</v>
      </c>
      <c r="K179" s="1" t="s">
        <v>17</v>
      </c>
      <c r="L179" s="1" t="s">
        <v>30</v>
      </c>
      <c r="M179"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4AE60-45FD-4609-8DE8-3A4D658AC718}">
  <dimension ref="A3:B14"/>
  <sheetViews>
    <sheetView workbookViewId="0">
      <selection activeCell="A3" sqref="A3"/>
    </sheetView>
  </sheetViews>
  <sheetFormatPr defaultRowHeight="14.4" x14ac:dyDescent="0.3"/>
  <cols>
    <col min="1" max="1" width="12.5546875" bestFit="1" customWidth="1"/>
    <col min="2" max="2" width="14.109375" bestFit="1" customWidth="1"/>
  </cols>
  <sheetData>
    <row r="3" spans="1:2" x14ac:dyDescent="0.3">
      <c r="A3" s="11" t="s">
        <v>360</v>
      </c>
      <c r="B3" t="s">
        <v>362</v>
      </c>
    </row>
    <row r="4" spans="1:2" x14ac:dyDescent="0.3">
      <c r="A4" s="12" t="s">
        <v>46</v>
      </c>
      <c r="B4" s="1">
        <v>19139989</v>
      </c>
    </row>
    <row r="5" spans="1:2" x14ac:dyDescent="0.3">
      <c r="A5" s="12" t="s">
        <v>52</v>
      </c>
      <c r="B5" s="1">
        <v>13539825</v>
      </c>
    </row>
    <row r="6" spans="1:2" x14ac:dyDescent="0.3">
      <c r="A6" s="12" t="s">
        <v>14</v>
      </c>
      <c r="B6" s="1">
        <v>72752485</v>
      </c>
    </row>
    <row r="7" spans="1:2" x14ac:dyDescent="0.3">
      <c r="A7" s="12" t="s">
        <v>22</v>
      </c>
      <c r="B7" s="1">
        <v>8265098</v>
      </c>
    </row>
    <row r="8" spans="1:2" x14ac:dyDescent="0.3">
      <c r="A8" s="12" t="s">
        <v>77</v>
      </c>
      <c r="B8" s="1">
        <v>11746536</v>
      </c>
    </row>
    <row r="9" spans="1:2" x14ac:dyDescent="0.3">
      <c r="A9" s="12" t="s">
        <v>42</v>
      </c>
      <c r="B9" s="1">
        <v>10997054</v>
      </c>
    </row>
    <row r="10" spans="1:2" x14ac:dyDescent="0.3">
      <c r="A10" s="12" t="s">
        <v>140</v>
      </c>
      <c r="B10" s="1">
        <v>6563616</v>
      </c>
    </row>
    <row r="11" spans="1:2" x14ac:dyDescent="0.3">
      <c r="A11" s="12" t="s">
        <v>256</v>
      </c>
      <c r="B11" s="1">
        <v>9150991</v>
      </c>
    </row>
    <row r="12" spans="1:2" x14ac:dyDescent="0.3">
      <c r="A12" s="12" t="s">
        <v>65</v>
      </c>
      <c r="B12" s="1">
        <v>9519033</v>
      </c>
    </row>
    <row r="13" spans="1:2" x14ac:dyDescent="0.3">
      <c r="A13" s="12" t="s">
        <v>63</v>
      </c>
      <c r="B13" s="1">
        <v>8293499</v>
      </c>
    </row>
    <row r="14" spans="1:2" x14ac:dyDescent="0.3">
      <c r="A14" s="12" t="s">
        <v>361</v>
      </c>
      <c r="B14" s="1">
        <v>169968126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C7BC-F23E-4FB6-A1D1-5B1073DD4DCB}">
  <dimension ref="A3:B14"/>
  <sheetViews>
    <sheetView workbookViewId="0">
      <selection activeCell="O18" sqref="O18"/>
    </sheetView>
  </sheetViews>
  <sheetFormatPr defaultRowHeight="14.4" x14ac:dyDescent="0.3"/>
  <cols>
    <col min="1" max="1" width="35.6640625" bestFit="1" customWidth="1"/>
    <col min="2" max="2" width="14.109375" bestFit="1" customWidth="1"/>
  </cols>
  <sheetData>
    <row r="3" spans="1:2" x14ac:dyDescent="0.3">
      <c r="A3" s="11" t="s">
        <v>360</v>
      </c>
      <c r="B3" t="s">
        <v>362</v>
      </c>
    </row>
    <row r="4" spans="1:2" x14ac:dyDescent="0.3">
      <c r="A4" s="12" t="s">
        <v>37</v>
      </c>
      <c r="B4" s="1">
        <v>4573989</v>
      </c>
    </row>
    <row r="5" spans="1:2" x14ac:dyDescent="0.3">
      <c r="A5" s="12" t="s">
        <v>36</v>
      </c>
      <c r="B5" s="1">
        <v>4718569</v>
      </c>
    </row>
    <row r="6" spans="1:2" x14ac:dyDescent="0.3">
      <c r="A6" s="12" t="s">
        <v>21</v>
      </c>
      <c r="B6" s="1">
        <v>5733862</v>
      </c>
    </row>
    <row r="7" spans="1:2" x14ac:dyDescent="0.3">
      <c r="A7" s="12" t="s">
        <v>20</v>
      </c>
      <c r="B7" s="1">
        <v>6815694</v>
      </c>
    </row>
    <row r="8" spans="1:2" x14ac:dyDescent="0.3">
      <c r="A8" s="12" t="s">
        <v>28</v>
      </c>
      <c r="B8" s="1">
        <v>5196767</v>
      </c>
    </row>
    <row r="9" spans="1:2" x14ac:dyDescent="0.3">
      <c r="A9" s="12" t="s">
        <v>27</v>
      </c>
      <c r="B9" s="1">
        <v>5338608</v>
      </c>
    </row>
    <row r="10" spans="1:2" x14ac:dyDescent="0.3">
      <c r="A10" s="12" t="s">
        <v>38</v>
      </c>
      <c r="B10" s="1">
        <v>4567309</v>
      </c>
    </row>
    <row r="11" spans="1:2" x14ac:dyDescent="0.3">
      <c r="A11" s="12" t="s">
        <v>29</v>
      </c>
      <c r="B11" s="1">
        <v>4749288</v>
      </c>
    </row>
    <row r="12" spans="1:2" x14ac:dyDescent="0.3">
      <c r="A12" s="12" t="s">
        <v>31</v>
      </c>
      <c r="B12" s="1">
        <v>4738329</v>
      </c>
    </row>
    <row r="13" spans="1:2" x14ac:dyDescent="0.3">
      <c r="A13" s="12" t="s">
        <v>13</v>
      </c>
      <c r="B13" s="1">
        <v>11273830</v>
      </c>
    </row>
    <row r="14" spans="1:2" x14ac:dyDescent="0.3">
      <c r="A14" s="12" t="s">
        <v>361</v>
      </c>
      <c r="B14" s="1">
        <v>57706245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EBEE-B629-4D80-82CC-C91CD23E5B9F}">
  <dimension ref="A3:B14"/>
  <sheetViews>
    <sheetView workbookViewId="0">
      <selection activeCell="O13" sqref="O13"/>
    </sheetView>
  </sheetViews>
  <sheetFormatPr defaultRowHeight="14.4" x14ac:dyDescent="0.3"/>
  <cols>
    <col min="1" max="1" width="16.5546875" bestFit="1" customWidth="1"/>
    <col min="2" max="2" width="14.109375" bestFit="1" customWidth="1"/>
  </cols>
  <sheetData>
    <row r="3" spans="1:2" x14ac:dyDescent="0.3">
      <c r="A3" s="11" t="s">
        <v>360</v>
      </c>
      <c r="B3" t="s">
        <v>362</v>
      </c>
    </row>
    <row r="4" spans="1:2" x14ac:dyDescent="0.3">
      <c r="A4" s="12" t="s">
        <v>23</v>
      </c>
      <c r="B4" s="1">
        <v>9993132</v>
      </c>
    </row>
    <row r="5" spans="1:2" x14ac:dyDescent="0.3">
      <c r="A5" s="12" t="s">
        <v>85</v>
      </c>
      <c r="B5" s="1">
        <v>11782572</v>
      </c>
    </row>
    <row r="6" spans="1:2" x14ac:dyDescent="0.3">
      <c r="A6" s="12" t="s">
        <v>81</v>
      </c>
      <c r="B6" s="1">
        <v>12961759</v>
      </c>
    </row>
    <row r="7" spans="1:2" x14ac:dyDescent="0.3">
      <c r="A7" s="12" t="s">
        <v>130</v>
      </c>
      <c r="B7" s="1">
        <v>11718989</v>
      </c>
    </row>
    <row r="8" spans="1:2" x14ac:dyDescent="0.3">
      <c r="A8" s="12" t="s">
        <v>66</v>
      </c>
      <c r="B8" s="1">
        <v>12901895</v>
      </c>
    </row>
    <row r="9" spans="1:2" x14ac:dyDescent="0.3">
      <c r="A9" s="12" t="s">
        <v>15</v>
      </c>
      <c r="B9" s="1">
        <v>72752485</v>
      </c>
    </row>
    <row r="10" spans="1:2" x14ac:dyDescent="0.3">
      <c r="A10" s="12" t="s">
        <v>43</v>
      </c>
      <c r="B10" s="1">
        <v>96866003</v>
      </c>
    </row>
    <row r="11" spans="1:2" x14ac:dyDescent="0.3">
      <c r="A11" s="12" t="s">
        <v>68</v>
      </c>
      <c r="B11" s="1">
        <v>17181163</v>
      </c>
    </row>
    <row r="12" spans="1:2" x14ac:dyDescent="0.3">
      <c r="A12" s="12" t="s">
        <v>141</v>
      </c>
      <c r="B12" s="1">
        <v>12704416</v>
      </c>
    </row>
    <row r="13" spans="1:2" x14ac:dyDescent="0.3">
      <c r="A13" s="12" t="s">
        <v>78</v>
      </c>
      <c r="B13" s="1">
        <v>24820619</v>
      </c>
    </row>
    <row r="14" spans="1:2" x14ac:dyDescent="0.3">
      <c r="A14" s="12" t="s">
        <v>361</v>
      </c>
      <c r="B14" s="1">
        <v>283683033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760D3-CCC7-4B66-8BBB-2C53075CE871}">
  <dimension ref="A3:B14"/>
  <sheetViews>
    <sheetView workbookViewId="0">
      <selection activeCell="N28" sqref="N28"/>
    </sheetView>
  </sheetViews>
  <sheetFormatPr defaultRowHeight="14.4" x14ac:dyDescent="0.3"/>
  <cols>
    <col min="1" max="1" width="12.5546875" bestFit="1" customWidth="1"/>
    <col min="2" max="2" width="14.109375" bestFit="1" customWidth="1"/>
  </cols>
  <sheetData>
    <row r="3" spans="1:2" x14ac:dyDescent="0.3">
      <c r="A3" s="11" t="s">
        <v>360</v>
      </c>
      <c r="B3" t="s">
        <v>362</v>
      </c>
    </row>
    <row r="4" spans="1:2" x14ac:dyDescent="0.3">
      <c r="A4" s="12" t="s">
        <v>105</v>
      </c>
      <c r="B4" s="1">
        <v>9164547</v>
      </c>
    </row>
    <row r="5" spans="1:2" x14ac:dyDescent="0.3">
      <c r="A5" s="12" t="s">
        <v>131</v>
      </c>
      <c r="B5" s="1">
        <v>14740406</v>
      </c>
    </row>
    <row r="6" spans="1:2" x14ac:dyDescent="0.3">
      <c r="A6" s="12" t="s">
        <v>174</v>
      </c>
      <c r="B6" s="1">
        <v>5960365</v>
      </c>
    </row>
    <row r="7" spans="1:2" x14ac:dyDescent="0.3">
      <c r="A7" s="12" t="s">
        <v>34</v>
      </c>
      <c r="B7" s="1">
        <v>18154513</v>
      </c>
    </row>
    <row r="8" spans="1:2" x14ac:dyDescent="0.3">
      <c r="A8" s="12" t="s">
        <v>24</v>
      </c>
      <c r="B8" s="1">
        <v>8265098</v>
      </c>
    </row>
    <row r="9" spans="1:2" x14ac:dyDescent="0.3">
      <c r="A9" s="12" t="s">
        <v>74</v>
      </c>
      <c r="B9" s="1">
        <v>43427153</v>
      </c>
    </row>
    <row r="10" spans="1:2" x14ac:dyDescent="0.3">
      <c r="A10" s="12" t="s">
        <v>16</v>
      </c>
      <c r="B10" s="1">
        <v>76140445</v>
      </c>
    </row>
    <row r="11" spans="1:2" x14ac:dyDescent="0.3">
      <c r="A11" s="12" t="s">
        <v>142</v>
      </c>
      <c r="B11" s="1">
        <v>12490791</v>
      </c>
    </row>
    <row r="12" spans="1:2" x14ac:dyDescent="0.3">
      <c r="A12" s="12" t="s">
        <v>47</v>
      </c>
      <c r="B12" s="1">
        <v>22457857</v>
      </c>
    </row>
    <row r="13" spans="1:2" x14ac:dyDescent="0.3">
      <c r="A13" s="12" t="s">
        <v>44</v>
      </c>
      <c r="B13" s="1">
        <v>144060230</v>
      </c>
    </row>
    <row r="14" spans="1:2" x14ac:dyDescent="0.3">
      <c r="A14" s="12" t="s">
        <v>361</v>
      </c>
      <c r="B14" s="1">
        <v>354861405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1DFB-F60A-4901-8D7B-5F0815B039FF}">
  <dimension ref="A3:D5"/>
  <sheetViews>
    <sheetView workbookViewId="0">
      <selection activeCell="P20" sqref="P20"/>
    </sheetView>
  </sheetViews>
  <sheetFormatPr defaultRowHeight="14.4" x14ac:dyDescent="0.3"/>
  <cols>
    <col min="1" max="1" width="14.109375" bestFit="1" customWidth="1"/>
    <col min="2" max="2" width="15.5546875" bestFit="1" customWidth="1"/>
    <col min="3" max="3" width="9" bestFit="1" customWidth="1"/>
    <col min="4" max="4" width="10.77734375" bestFit="1" customWidth="1"/>
  </cols>
  <sheetData>
    <row r="3" spans="1:4" x14ac:dyDescent="0.3">
      <c r="B3" s="11" t="s">
        <v>363</v>
      </c>
    </row>
    <row r="4" spans="1:4" x14ac:dyDescent="0.3">
      <c r="B4" t="s">
        <v>17</v>
      </c>
      <c r="C4" t="s">
        <v>25</v>
      </c>
      <c r="D4" t="s">
        <v>361</v>
      </c>
    </row>
    <row r="5" spans="1:4" x14ac:dyDescent="0.3">
      <c r="A5" t="s">
        <v>362</v>
      </c>
      <c r="B5" s="1">
        <v>294554327</v>
      </c>
      <c r="C5" s="1">
        <v>78064892</v>
      </c>
      <c r="D5" s="1">
        <v>372619219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27073-C6C1-4FEC-BE65-964431174792}">
  <dimension ref="A3:C6"/>
  <sheetViews>
    <sheetView workbookViewId="0">
      <selection activeCell="H28" sqref="H28"/>
    </sheetView>
  </sheetViews>
  <sheetFormatPr defaultRowHeight="14.4" x14ac:dyDescent="0.3"/>
  <cols>
    <col min="1" max="1" width="12.5546875" bestFit="1" customWidth="1"/>
    <col min="2" max="2" width="14.5546875" bestFit="1" customWidth="1"/>
    <col min="3" max="3" width="14.109375" bestFit="1" customWidth="1"/>
    <col min="4" max="4" width="11" bestFit="1" customWidth="1"/>
    <col min="5" max="5" width="10.77734375" bestFit="1" customWidth="1"/>
    <col min="6" max="6" width="10.44140625" bestFit="1" customWidth="1"/>
    <col min="7" max="7" width="13.21875" bestFit="1" customWidth="1"/>
    <col min="8" max="8" width="10.77734375" bestFit="1" customWidth="1"/>
  </cols>
  <sheetData>
    <row r="3" spans="1:3" x14ac:dyDescent="0.3">
      <c r="A3" s="11" t="s">
        <v>360</v>
      </c>
      <c r="B3" t="s">
        <v>364</v>
      </c>
      <c r="C3" t="s">
        <v>362</v>
      </c>
    </row>
    <row r="4" spans="1:3" x14ac:dyDescent="0.3">
      <c r="A4" s="12" t="s">
        <v>30</v>
      </c>
      <c r="B4" s="1">
        <v>551.04046242774564</v>
      </c>
      <c r="C4" s="1">
        <v>338260458</v>
      </c>
    </row>
    <row r="5" spans="1:3" x14ac:dyDescent="0.3">
      <c r="A5" s="12" t="s">
        <v>18</v>
      </c>
      <c r="B5" s="1">
        <v>25.4</v>
      </c>
      <c r="C5" s="1">
        <v>34358761</v>
      </c>
    </row>
    <row r="6" spans="1:3" x14ac:dyDescent="0.3">
      <c r="A6" s="12" t="s">
        <v>361</v>
      </c>
      <c r="B6" s="1">
        <v>536.27528089887642</v>
      </c>
      <c r="C6" s="1">
        <v>372619219</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CDA89E6F-E572-4136-BA22-FBF00F399043}">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'Longevity vs. Popularity'!A3:A12</xm:f>
              <xm:sqref>F3</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AA386-519B-4550-ADDC-810E3A29C202}">
  <dimension ref="A3:C20"/>
  <sheetViews>
    <sheetView workbookViewId="0">
      <selection activeCell="H2" sqref="H2"/>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1DA72-6B60-458F-8B11-1129C1355772}">
  <dimension ref="G1:M62"/>
  <sheetViews>
    <sheetView showGridLines="0" tabSelected="1" zoomScaleNormal="100" workbookViewId="0">
      <selection activeCell="G1" sqref="G1"/>
    </sheetView>
  </sheetViews>
  <sheetFormatPr defaultRowHeight="14.4" x14ac:dyDescent="0.3"/>
  <cols>
    <col min="1" max="4" width="8.88671875" style="13"/>
    <col min="5" max="5" width="10.77734375" style="13" bestFit="1" customWidth="1"/>
    <col min="6" max="16384" width="8.88671875" style="13"/>
  </cols>
  <sheetData>
    <row r="1" spans="7:7" x14ac:dyDescent="0.3">
      <c r="G1" s="14"/>
    </row>
    <row r="62" spans="13:13" x14ac:dyDescent="0.3">
      <c r="M62" s="13" t="s">
        <v>365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CF7A5FA-3D57-44CF-A11C-24B894B39FB8}">
          <x14:formula1>
            <xm:f>'spotify_global_trends '!$B$2:$B$179</xm:f>
          </x14:formula1>
          <xm:sqref>G1</xm:sqref>
        </x14:dataValidation>
      </x14:dataValidation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B79820-EEA2-49AE-BF14-1AC183893D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spotify_global_trends </vt:lpstr>
      <vt:lpstr>Top Artists by Streams</vt:lpstr>
      <vt:lpstr>Top Tracks by Streams</vt:lpstr>
      <vt:lpstr>Genre Distribution</vt:lpstr>
      <vt:lpstr>Country Trends</vt:lpstr>
      <vt:lpstr>Trend Analysis</vt:lpstr>
      <vt:lpstr>Longevity vs. Popularity</vt:lpstr>
      <vt:lpstr>Spotify_slicer</vt:lpstr>
      <vt:lpstr>Spotify_Dashboard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swarup lature</dc:creator>
  <cp:lastModifiedBy>swarup lature</cp:lastModifiedBy>
  <dcterms:created xsi:type="dcterms:W3CDTF">2026-04-22T08:48:20Z</dcterms:created>
  <dcterms:modified xsi:type="dcterms:W3CDTF">2026-05-29T10:31:29Z</dcterms:modified>
</cp:coreProperties>
</file>